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Арфа\"/>
    </mc:Choice>
  </mc:AlternateContent>
  <xr:revisionPtr revIDLastSave="0" documentId="13_ncr:1_{216635B4-EEEF-409D-824D-6A9DE95F155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Оценочкая загрузка,%" sheetId="6" r:id="rId1"/>
    <sheet name="Отчет руководителя" sheetId="2" r:id="rId2"/>
    <sheet name="Исходники" sheetId="1" r:id="rId3"/>
    <sheet name="Сводка" sheetId="3" r:id="rId4"/>
    <sheet name="Динамика отдела" sheetId="7" r:id="rId5"/>
    <sheet name="Данные диаграмм" sheetId="5" r:id="rId6"/>
    <sheet name="Лиды компании" sheetId="4" r:id="rId7"/>
  </sheets>
  <definedNames>
    <definedName name="ДатыОтчета">_xlfn.ANCHORARRAY('Данные диаграмм'!$A$2)</definedName>
    <definedName name="ДиалогиОтчета">_xlfn.ANCHORARRAY('Данные диаграмм'!$B$2)</definedName>
    <definedName name="НазначеноОтчета">_xlfn.ANCHORARRAY('Данные диаграмм'!$C$2)</definedName>
    <definedName name="ПланДиалогов">_xlfn.ANCHORARRAY('Данные диаграмм'!$E$2)</definedName>
    <definedName name="ПланНазначенных">_xlfn.ANCHORARRAY('Данные диаграмм'!$F$2)</definedName>
    <definedName name="ПланПроведенных">_xlfn.ANCHORARRAY('Данные диаграмм'!$G$2)</definedName>
    <definedName name="ПроведеноОтчета">_xlfn.ANCHORARRAY('Данные диаграмм'!$D$2)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1" l="1"/>
  <c r="V25" i="1"/>
  <c r="V24" i="1"/>
  <c r="V23" i="1"/>
  <c r="W24" i="1"/>
  <c r="W25" i="1"/>
  <c r="W26" i="1"/>
  <c r="W23" i="1"/>
  <c r="C19" i="1"/>
  <c r="H19" i="1"/>
  <c r="I19" i="1"/>
  <c r="J19" i="1"/>
  <c r="P19" i="1"/>
  <c r="C18" i="1"/>
  <c r="H18" i="1"/>
  <c r="I18" i="1"/>
  <c r="J18" i="1"/>
  <c r="P18" i="1"/>
  <c r="B2" i="7"/>
  <c r="A3" i="7" a="1"/>
  <c r="C17" i="1"/>
  <c r="H17" i="1"/>
  <c r="I17" i="1"/>
  <c r="J17" i="1"/>
  <c r="P17" i="1"/>
  <c r="A2" i="2"/>
  <c r="A34" i="2"/>
  <c r="A996" i="3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A1" i="3"/>
  <c r="F4" i="2"/>
  <c r="F4" i="3"/>
  <c r="F5" i="3"/>
  <c r="F3" i="3"/>
  <c r="C4" i="3"/>
  <c r="C5" i="3"/>
  <c r="C3" i="3"/>
  <c r="B4" i="3"/>
  <c r="B5" i="3"/>
  <c r="B3" i="3"/>
  <c r="D4" i="3"/>
  <c r="E4" i="3" s="1"/>
  <c r="D5" i="3"/>
  <c r="E5" i="3" s="1"/>
  <c r="D3" i="3"/>
  <c r="E3" i="3" s="1"/>
  <c r="H4" i="3"/>
  <c r="H5" i="3"/>
  <c r="H3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H16" i="1"/>
  <c r="I16" i="1"/>
  <c r="J16" i="1"/>
  <c r="H15" i="1"/>
  <c r="I15" i="1"/>
  <c r="J15" i="1"/>
  <c r="H14" i="1"/>
  <c r="I14" i="1"/>
  <c r="J14" i="1"/>
  <c r="A2" i="5" a="1"/>
  <c r="B5" i="2"/>
  <c r="J17" i="3"/>
  <c r="F34" i="2" s="1"/>
  <c r="I17" i="3"/>
  <c r="E34" i="2" s="1"/>
  <c r="H17" i="3"/>
  <c r="C34" i="2" s="1"/>
  <c r="G17" i="3"/>
  <c r="B34" i="2" s="1"/>
  <c r="A18" i="3"/>
  <c r="B17" i="3"/>
  <c r="D34" i="2" s="1"/>
  <c r="A16" i="3"/>
  <c r="U24" i="1"/>
  <c r="U25" i="1"/>
  <c r="U26" i="1"/>
  <c r="U23" i="1"/>
  <c r="E996" i="3"/>
  <c r="D996" i="3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D3" i="7" l="1" a="1"/>
  <c r="C3" i="7" a="1"/>
  <c r="F3" i="7" a="1"/>
  <c r="B3" i="7" a="1"/>
  <c r="E3" i="7" a="1"/>
  <c r="C996" i="3"/>
  <c r="B996" i="3"/>
  <c r="H996" i="3" s="1"/>
  <c r="B18" i="3"/>
  <c r="A35" i="2"/>
  <c r="A997" i="3"/>
  <c r="A995" i="3"/>
  <c r="A33" i="2"/>
  <c r="G4" i="3"/>
  <c r="I4" i="3" s="1"/>
  <c r="F6" i="2" s="1"/>
  <c r="G5" i="3"/>
  <c r="I5" i="3" s="1"/>
  <c r="F7" i="2" s="1"/>
  <c r="G3" i="3"/>
  <c r="I3" i="3" s="1"/>
  <c r="F5" i="2" s="1"/>
  <c r="F2" i="5" a="1"/>
  <c r="E2" i="5" a="1"/>
  <c r="G2" i="5" a="1"/>
  <c r="H34" i="2"/>
  <c r="J18" i="3"/>
  <c r="F35" i="2" s="1"/>
  <c r="I18" i="3"/>
  <c r="E35" i="2" s="1"/>
  <c r="H18" i="3"/>
  <c r="C35" i="2" s="1"/>
  <c r="G18" i="3"/>
  <c r="B35" i="2" s="1"/>
  <c r="J16" i="3"/>
  <c r="I16" i="3"/>
  <c r="H16" i="3"/>
  <c r="G16" i="3"/>
  <c r="B16" i="3"/>
  <c r="C2" i="5" a="1"/>
  <c r="B2" i="5" a="1"/>
  <c r="D2" i="5" a="1"/>
  <c r="G34" i="2"/>
  <c r="I34" i="2"/>
  <c r="E17" i="3"/>
  <c r="L34" i="2" s="1"/>
  <c r="F17" i="3"/>
  <c r="D17" i="3"/>
  <c r="C17" i="3"/>
  <c r="G996" i="3" l="1"/>
  <c r="F996" i="3"/>
  <c r="D35" i="2"/>
  <c r="E18" i="3"/>
  <c r="C18" i="3"/>
  <c r="F18" i="3"/>
  <c r="D18" i="3"/>
  <c r="D997" i="3"/>
  <c r="B997" i="3"/>
  <c r="C997" i="3"/>
  <c r="E997" i="3"/>
  <c r="C995" i="3"/>
  <c r="E995" i="3"/>
  <c r="D995" i="3"/>
  <c r="B995" i="3"/>
  <c r="N17" i="3"/>
  <c r="Q34" i="2" s="1"/>
  <c r="M34" i="2"/>
  <c r="L17" i="3"/>
  <c r="O34" i="2" s="1"/>
  <c r="K34" i="2"/>
  <c r="K17" i="3"/>
  <c r="N34" i="2" s="1"/>
  <c r="J34" i="2"/>
  <c r="I35" i="2"/>
  <c r="H35" i="2"/>
  <c r="G35" i="2"/>
  <c r="F33" i="2"/>
  <c r="J19" i="3"/>
  <c r="F2" i="7" s="1"/>
  <c r="E33" i="2"/>
  <c r="I19" i="3"/>
  <c r="E2" i="7" s="1"/>
  <c r="C33" i="2"/>
  <c r="H19" i="3"/>
  <c r="D2" i="7" s="1"/>
  <c r="B33" i="2"/>
  <c r="G19" i="3"/>
  <c r="C2" i="7" s="1"/>
  <c r="D33" i="2"/>
  <c r="B19" i="3"/>
  <c r="F16" i="3"/>
  <c r="M33" i="2" s="1"/>
  <c r="E16" i="3"/>
  <c r="L33" i="2" s="1"/>
  <c r="D16" i="3"/>
  <c r="K33" i="2" s="1"/>
  <c r="C16" i="3"/>
  <c r="J33" i="2" s="1"/>
  <c r="M17" i="3"/>
  <c r="P34" i="2" s="1"/>
  <c r="L35" i="2" l="1"/>
  <c r="M18" i="3"/>
  <c r="P35" i="2" s="1"/>
  <c r="J35" i="2"/>
  <c r="K18" i="3"/>
  <c r="N35" i="2" s="1"/>
  <c r="M35" i="2"/>
  <c r="N18" i="3"/>
  <c r="Q35" i="2" s="1"/>
  <c r="K35" i="2"/>
  <c r="L18" i="3"/>
  <c r="O35" i="2" s="1"/>
  <c r="H997" i="3"/>
  <c r="G997" i="3"/>
  <c r="G995" i="3"/>
  <c r="H995" i="3"/>
  <c r="F995" i="3"/>
  <c r="F997" i="3"/>
  <c r="B9" i="2"/>
  <c r="B8" i="2"/>
  <c r="B7" i="2"/>
  <c r="B6" i="2"/>
  <c r="I33" i="2"/>
  <c r="N16" i="3"/>
  <c r="Q33" i="2" s="1"/>
  <c r="F19" i="3"/>
  <c r="M16" i="3"/>
  <c r="P33" i="2" s="1"/>
  <c r="E19" i="3"/>
  <c r="L16" i="3"/>
  <c r="O33" i="2" s="1"/>
  <c r="D19" i="3"/>
  <c r="K16" i="3"/>
  <c r="N33" i="2" s="1"/>
  <c r="C19" i="3"/>
  <c r="H33" i="2"/>
  <c r="G33" i="2"/>
  <c r="B10" i="2" l="1"/>
  <c r="B12" i="2"/>
  <c r="B11" i="2"/>
  <c r="M19" i="3"/>
  <c r="D8" i="2" s="1"/>
  <c r="C8" i="2"/>
  <c r="C7" i="2"/>
  <c r="L19" i="3"/>
  <c r="D7" i="2" s="1"/>
  <c r="C6" i="2"/>
  <c r="K19" i="3"/>
  <c r="D6" i="2" s="1"/>
  <c r="C9" i="2"/>
  <c r="N19" i="3"/>
  <c r="D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<sst xmlns="http://schemas.openxmlformats.org/spreadsheetml/2006/main" count="143" uniqueCount="84">
  <si>
    <t xml:space="preserve">Дата </t>
  </si>
  <si>
    <t xml:space="preserve">Менеджер </t>
  </si>
  <si>
    <t>Показатель</t>
  </si>
  <si>
    <t>Кол-во наборов</t>
  </si>
  <si>
    <t>Кол-во назначанных встреч</t>
  </si>
  <si>
    <t>Кол-во проведенных встреч</t>
  </si>
  <si>
    <t>б/л</t>
  </si>
  <si>
    <t>Конверсия  набора в диалог, %</t>
  </si>
  <si>
    <t>Конверсия диалога во встречу, %</t>
  </si>
  <si>
    <t xml:space="preserve">Назначено встерч на 100 наборов </t>
  </si>
  <si>
    <t>Комментарий</t>
  </si>
  <si>
    <t>Новые лиды компании</t>
  </si>
  <si>
    <t>Дата</t>
  </si>
  <si>
    <t>Новые лиды</t>
  </si>
  <si>
    <t>Наборы отдела</t>
  </si>
  <si>
    <t>Диалоги от 40 сек</t>
  </si>
  <si>
    <t>Назначено встреч</t>
  </si>
  <si>
    <t>Проведено встреч</t>
  </si>
  <si>
    <t>Диалоги</t>
  </si>
  <si>
    <t xml:space="preserve">Отчет о загрузке менеджеров </t>
  </si>
  <si>
    <t xml:space="preserve">Назначенные встречи </t>
  </si>
  <si>
    <t>Проведенные встречи</t>
  </si>
  <si>
    <t>Наборы</t>
  </si>
  <si>
    <t xml:space="preserve">Диалоги </t>
  </si>
  <si>
    <t>Назначенные встречи</t>
  </si>
  <si>
    <t>Входящие, мин</t>
  </si>
  <si>
    <t>Исходящие, мин</t>
  </si>
  <si>
    <t>Время встреч, мин</t>
  </si>
  <si>
    <t>Планерки</t>
  </si>
  <si>
    <t xml:space="preserve">Отработано часов </t>
  </si>
  <si>
    <t xml:space="preserve">Кол-во наборов </t>
  </si>
  <si>
    <t>Учтённое время, мин (оценка)</t>
  </si>
  <si>
    <t>Оценочная загрузка, %</t>
  </si>
  <si>
    <t>Конверсия набора в диалог, %</t>
  </si>
  <si>
    <t>Конверсия набора во встречу, %</t>
  </si>
  <si>
    <t xml:space="preserve">Назначено встреч на 100 наборов </t>
  </si>
  <si>
    <t>Проведённые встречи</t>
  </si>
  <si>
    <t>План на менеджера, день</t>
  </si>
  <si>
    <t>План наборов</t>
  </si>
  <si>
    <t>План по назначенным встречам</t>
  </si>
  <si>
    <t>План по проведенным встречам</t>
  </si>
  <si>
    <t>Менеджер</t>
  </si>
  <si>
    <t>Рабочих днем, кол-во</t>
  </si>
  <si>
    <t>Факт наборов</t>
  </si>
  <si>
    <t>Факт назначенных встреч</t>
  </si>
  <si>
    <t>Факт проведенных встреч</t>
  </si>
  <si>
    <t>Выполнения плана по наборам, %</t>
  </si>
  <si>
    <t>Выполнения плана по диалогам, %</t>
  </si>
  <si>
    <t>Выполнения плана по назначенным встречам,  %</t>
  </si>
  <si>
    <t>Выполнения плана по  проведенным встречам, %</t>
  </si>
  <si>
    <t>Итого</t>
  </si>
  <si>
    <t xml:space="preserve">Начало периода </t>
  </si>
  <si>
    <t>Конец периода</t>
  </si>
  <si>
    <t xml:space="preserve"> </t>
  </si>
  <si>
    <t>План</t>
  </si>
  <si>
    <t>ФАКТ</t>
  </si>
  <si>
    <t>Выполнение плана,%</t>
  </si>
  <si>
    <t>Рабочих дней</t>
  </si>
  <si>
    <t>План диалогов</t>
  </si>
  <si>
    <t>План назначенных</t>
  </si>
  <si>
    <t>План проведенных</t>
  </si>
  <si>
    <t xml:space="preserve">План наборов </t>
  </si>
  <si>
    <t xml:space="preserve">План диалогов </t>
  </si>
  <si>
    <t>План назначаенных встре</t>
  </si>
  <si>
    <t xml:space="preserve">План проведенных </t>
  </si>
  <si>
    <t>Кол-во диалогов от 30 сек</t>
  </si>
  <si>
    <t>Диалоги от 30 сек</t>
  </si>
  <si>
    <t>Диалоги от 30 секунд</t>
  </si>
  <si>
    <t>Учтены фактические минуты звонков и планёрок. Время встреч оценено по 60 минут за встречу. Работа в CRM, переписка и другие задачи не включены.</t>
  </si>
  <si>
    <t>Планерки, мин</t>
  </si>
  <si>
    <t>План диалогов от 30 сек</t>
  </si>
  <si>
    <t>Названия строк</t>
  </si>
  <si>
    <t>Названия столбцов</t>
  </si>
  <si>
    <t>Среднее по полю Оценочная загрузка, %</t>
  </si>
  <si>
    <t xml:space="preserve">Факт диалогов от 30 сек </t>
  </si>
  <si>
    <t>Наборы, Выполнение, %</t>
  </si>
  <si>
    <t>Диалоги, Выполнение, %</t>
  </si>
  <si>
    <t>Назначенные, Выполнение, %</t>
  </si>
  <si>
    <t>Проведенные, Выполнение, %</t>
  </si>
  <si>
    <t>За выбранный период</t>
  </si>
  <si>
    <t>Менеджер 1</t>
  </si>
  <si>
    <t>Менеджер 2</t>
  </si>
  <si>
    <t>Менеджер 3</t>
  </si>
  <si>
    <t>*Менеджер 3  после больничного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</si>
</sst>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7CEB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5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vertical="center"/>
    </xf>
    <xf numFmtId="0" fontId="0" fillId="0" borderId="10" xfId="0" applyBorder="1"/>
    <xf numFmtId="9" fontId="0" fillId="0" borderId="1" xfId="1" applyFont="1" applyBorder="1"/>
    <xf numFmtId="2" fontId="0" fillId="0" borderId="1" xfId="1" applyNumberFormat="1" applyFont="1" applyBorder="1"/>
    <xf numFmtId="0" fontId="0" fillId="0" borderId="7" xfId="0" applyBorder="1"/>
    <xf numFmtId="10" fontId="0" fillId="0" borderId="0" xfId="0" applyNumberFormat="1"/>
    <xf numFmtId="2" fontId="0" fillId="0" borderId="0" xfId="0" applyNumberFormat="1"/>
    <xf numFmtId="0" fontId="0" fillId="0" borderId="5" xfId="0" applyBorder="1"/>
    <xf numFmtId="9" fontId="0" fillId="3" borderId="6" xfId="0" applyNumberFormat="1" applyFill="1" applyBorder="1"/>
    <xf numFmtId="9" fontId="0" fillId="4" borderId="6" xfId="0" applyNumberFormat="1" applyFill="1" applyBorder="1"/>
    <xf numFmtId="9" fontId="0" fillId="3" borderId="9" xfId="0" applyNumberFormat="1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0" xfId="0" applyAlignment="1">
      <alignment wrapText="1"/>
    </xf>
    <xf numFmtId="0" fontId="0" fillId="0" borderId="4" xfId="0" applyBorder="1" applyAlignment="1">
      <alignment vertical="center" wrapText="1"/>
    </xf>
    <xf numFmtId="10" fontId="0" fillId="0" borderId="1" xfId="0" applyNumberFormat="1" applyBorder="1"/>
    <xf numFmtId="0" fontId="0" fillId="0" borderId="3" xfId="0" applyBorder="1" applyAlignment="1">
      <alignment horizontal="center" vertical="center" wrapText="1"/>
    </xf>
    <xf numFmtId="10" fontId="0" fillId="0" borderId="8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5" fontId="0" fillId="0" borderId="5" xfId="0" quotePrefix="1" applyNumberFormat="1" applyBorder="1"/>
    <xf numFmtId="165" fontId="0" fillId="0" borderId="7" xfId="0" quotePrefix="1" applyNumberFormat="1" applyBorder="1"/>
    <xf numFmtId="0" fontId="0" fillId="0" borderId="0" xfId="0" applyAlignment="1">
      <alignment vertical="center" wrapText="1"/>
    </xf>
    <xf numFmtId="0" fontId="0" fillId="6" borderId="0" xfId="0" applyFill="1"/>
    <xf numFmtId="0" fontId="0" fillId="3" borderId="0" xfId="0" applyFill="1"/>
    <xf numFmtId="0" fontId="0" fillId="7" borderId="0" xfId="0" applyFill="1"/>
    <xf numFmtId="0" fontId="0" fillId="6" borderId="1" xfId="0" applyFill="1" applyBorder="1"/>
    <xf numFmtId="0" fontId="0" fillId="7" borderId="1" xfId="0" applyFill="1" applyBorder="1"/>
    <xf numFmtId="0" fontId="0" fillId="6" borderId="3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6" borderId="8" xfId="0" applyFill="1" applyBorder="1"/>
    <xf numFmtId="0" fontId="0" fillId="7" borderId="8" xfId="0" applyFill="1" applyBorder="1"/>
    <xf numFmtId="0" fontId="0" fillId="8" borderId="3" xfId="0" applyFill="1" applyBorder="1" applyAlignment="1">
      <alignment vertical="center" wrapText="1"/>
    </xf>
    <xf numFmtId="0" fontId="0" fillId="8" borderId="1" xfId="0" applyFill="1" applyBorder="1"/>
    <xf numFmtId="0" fontId="0" fillId="8" borderId="8" xfId="0" applyFill="1" applyBorder="1"/>
    <xf numFmtId="0" fontId="0" fillId="8" borderId="0" xfId="0" applyFill="1"/>
    <xf numFmtId="0" fontId="0" fillId="9" borderId="3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10" fontId="0" fillId="9" borderId="1" xfId="0" applyNumberFormat="1" applyFill="1" applyBorder="1"/>
    <xf numFmtId="10" fontId="0" fillId="9" borderId="1" xfId="1" applyNumberFormat="1" applyFont="1" applyFill="1" applyBorder="1" applyAlignment="1">
      <alignment horizontal="right"/>
    </xf>
    <xf numFmtId="10" fontId="0" fillId="9" borderId="6" xfId="0" applyNumberFormat="1" applyFill="1" applyBorder="1"/>
    <xf numFmtId="10" fontId="0" fillId="9" borderId="8" xfId="0" applyNumberFormat="1" applyFill="1" applyBorder="1"/>
    <xf numFmtId="10" fontId="0" fillId="9" borderId="8" xfId="1" applyNumberFormat="1" applyFont="1" applyFill="1" applyBorder="1" applyAlignment="1">
      <alignment horizontal="right"/>
    </xf>
    <xf numFmtId="10" fontId="0" fillId="9" borderId="9" xfId="0" applyNumberFormat="1" applyFill="1" applyBorder="1"/>
    <xf numFmtId="10" fontId="0" fillId="9" borderId="0" xfId="1" applyNumberFormat="1" applyFont="1" applyFill="1"/>
    <xf numFmtId="0" fontId="2" fillId="0" borderId="0" xfId="0" applyFont="1"/>
    <xf numFmtId="14" fontId="0" fillId="0" borderId="0" xfId="0" applyNumberFormat="1"/>
    <xf numFmtId="0" fontId="2" fillId="2" borderId="11" xfId="0" applyFont="1" applyFill="1" applyBorder="1"/>
    <xf numFmtId="0" fontId="0" fillId="0" borderId="12" xfId="0" applyBorder="1"/>
    <xf numFmtId="0" fontId="0" fillId="0" borderId="13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top" wrapText="1"/>
    </xf>
    <xf numFmtId="166" fontId="0" fillId="0" borderId="1" xfId="1" applyNumberFormat="1" applyFont="1" applyBorder="1"/>
    <xf numFmtId="0" fontId="2" fillId="2" borderId="4" xfId="0" applyFont="1" applyFill="1" applyBorder="1" applyAlignment="1">
      <alignment wrapText="1"/>
    </xf>
    <xf numFmtId="14" fontId="0" fillId="0" borderId="12" xfId="0" applyNumberFormat="1" applyBorder="1"/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4" fontId="0" fillId="0" borderId="17" xfId="0" applyNumberFormat="1" applyBorder="1"/>
    <xf numFmtId="0" fontId="0" fillId="0" borderId="18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9" fontId="0" fillId="0" borderId="18" xfId="1" applyFont="1" applyBorder="1"/>
    <xf numFmtId="2" fontId="0" fillId="0" borderId="18" xfId="1" applyNumberFormat="1" applyFont="1" applyBorder="1"/>
    <xf numFmtId="0" fontId="0" fillId="10" borderId="1" xfId="0" applyFill="1" applyBorder="1"/>
    <xf numFmtId="10" fontId="2" fillId="0" borderId="1" xfId="0" applyNumberFormat="1" applyFont="1" applyBorder="1"/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9" fontId="0" fillId="6" borderId="0" xfId="1" applyFont="1" applyFill="1"/>
    <xf numFmtId="16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9" fontId="0" fillId="0" borderId="0" xfId="1" applyFont="1"/>
    <xf numFmtId="0" fontId="0" fillId="0" borderId="0" xfId="0" pivotButton="1"/>
    <xf numFmtId="14" fontId="0" fillId="0" borderId="0" xfId="0" applyNumberFormat="1" applyAlignment="1">
      <alignment horizontal="left"/>
    </xf>
    <xf numFmtId="166" fontId="0" fillId="0" borderId="0" xfId="0" applyNumberFormat="1"/>
    <xf numFmtId="0" fontId="2" fillId="5" borderId="7" xfId="0" applyFont="1" applyFill="1" applyBorder="1" applyAlignment="1">
      <alignment vertical="center" wrapText="1"/>
    </xf>
    <xf numFmtId="14" fontId="0" fillId="3" borderId="0" xfId="0" applyNumberFormat="1" applyFill="1"/>
    <xf numFmtId="14" fontId="0" fillId="3" borderId="22" xfId="0" applyNumberFormat="1" applyFill="1" applyBorder="1"/>
    <xf numFmtId="14" fontId="0" fillId="3" borderId="23" xfId="0" applyNumberFormat="1" applyFill="1" applyBorder="1"/>
    <xf numFmtId="0" fontId="0" fillId="0" borderId="2" xfId="0" applyBorder="1"/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wrapText="1"/>
    </xf>
    <xf numFmtId="0" fontId="0" fillId="3" borderId="9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9" fontId="0" fillId="0" borderId="0" xfId="1" applyFont="1" applyBorder="1"/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 vertical="center" wrapText="1"/>
    </xf>
    <xf numFmtId="10" fontId="0" fillId="0" borderId="6" xfId="0" applyNumberFormat="1" applyBorder="1"/>
    <xf numFmtId="10" fontId="0" fillId="0" borderId="9" xfId="0" applyNumberFormat="1" applyBorder="1"/>
    <xf numFmtId="2" fontId="0" fillId="0" borderId="1" xfId="0" applyNumberFormat="1" applyBorder="1"/>
    <xf numFmtId="2" fontId="0" fillId="0" borderId="8" xfId="0" applyNumberFormat="1" applyBorder="1"/>
  </cellXfs>
  <cellStyles count="2">
    <cellStyle name="Обычный" xfId="0" builtinId="0"/>
    <cellStyle name="Процентный" xfId="1" builtinId="5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Назначенные встречи факт, план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'Данные диаграмм'!$C$1</c:f>
              <c:strCache>
                <c:ptCount val="1"/>
                <c:pt idx="0">
                  <c:v>Назначенные встречи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[0]!ДатыОтчета</c:f>
              <c:numCache>
                <c:formatCode>m/d/yyyy</c:formatCode>
                <c:ptCount val="1"/>
                <c:pt idx="0">
                  <c:v>46290</c:v>
                </c:pt>
              </c:numCache>
            </c:numRef>
          </c:cat>
          <c:val>
            <c:numRef>
              <c:f>[0]!НазначеноОтчета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F-4D26-A618-6538F2C397DD}"/>
            </c:ext>
          </c:extLst>
        </c:ser>
        <c:ser>
          <c:idx val="2"/>
          <c:order val="1"/>
          <c:tx>
            <c:strRef>
              <c:f>'Данные диаграмм'!$F$1</c:f>
              <c:strCache>
                <c:ptCount val="1"/>
                <c:pt idx="0">
                  <c:v>План назначенных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[0]!ДатыОтчета</c:f>
              <c:numCache>
                <c:formatCode>m/d/yyyy</c:formatCode>
                <c:ptCount val="1"/>
                <c:pt idx="0">
                  <c:v>46290</c:v>
                </c:pt>
              </c:numCache>
            </c:numRef>
          </c:cat>
          <c:val>
            <c:numRef>
              <c:f>[0]!ПланНазначенных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F-4D26-A618-6538F2C397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856720"/>
        <c:axId val="1929869455"/>
      </c:lineChart>
      <c:catAx>
        <c:axId val="128856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869455"/>
        <c:crosses val="autoZero"/>
        <c:auto val="0"/>
        <c:lblAlgn val="ctr"/>
        <c:lblOffset val="100"/>
        <c:noMultiLvlLbl val="0"/>
      </c:catAx>
      <c:valAx>
        <c:axId val="19298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8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Проведенные встречи факт, план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'Данные диаграмм'!$D$1</c:f>
              <c:strCache>
                <c:ptCount val="1"/>
                <c:pt idx="0">
                  <c:v>Проведенные встречи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[0]!ДатыОтчета</c:f>
              <c:numCache>
                <c:formatCode>m/d/yyyy</c:formatCode>
                <c:ptCount val="1"/>
                <c:pt idx="0">
                  <c:v>46290</c:v>
                </c:pt>
              </c:numCache>
            </c:numRef>
          </c:cat>
          <c:val>
            <c:numRef>
              <c:f>[0]!ПроведеноОтчета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E-40C6-B1F8-02C96E6C73E4}"/>
            </c:ext>
          </c:extLst>
        </c:ser>
        <c:ser>
          <c:idx val="2"/>
          <c:order val="1"/>
          <c:tx>
            <c:strRef>
              <c:f>'Данные диаграмм'!$G$1</c:f>
              <c:strCache>
                <c:ptCount val="1"/>
                <c:pt idx="0">
                  <c:v>План проведенных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[0]!ДатыОтчета</c:f>
              <c:numCache>
                <c:formatCode>m/d/yyyy</c:formatCode>
                <c:ptCount val="1"/>
                <c:pt idx="0">
                  <c:v>46290</c:v>
                </c:pt>
              </c:numCache>
            </c:numRef>
          </c:cat>
          <c:val>
            <c:numRef>
              <c:f>[0]!ПланПроведенных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E-40C6-B1F8-02C96E6C73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856720"/>
        <c:axId val="1929869455"/>
      </c:lineChart>
      <c:catAx>
        <c:axId val="128856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869455"/>
        <c:crosses val="autoZero"/>
        <c:auto val="0"/>
        <c:lblAlgn val="ctr"/>
        <c:lblOffset val="100"/>
        <c:noMultiLvlLbl val="0"/>
      </c:catAx>
      <c:valAx>
        <c:axId val="19298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8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[загруженность менеджеров.xlsx]Оценочкая загрузка,%!Сводная таблица1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Оценочная загрузка менеджеров, 18–24.09.2026</a:t>
            </a:r>
            <a:endParaRPr lang="ru-RU"/>
          </a:p>
        </c:rich>
      </c:tx>
      <c:layout>
        <c:manualLayout>
          <c:xMode val="edge"/>
          <c:yMode val="edge"/>
          <c:x val="0.2104582239720035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'Оценочкая загрузка,%'!$B$3:$B$4</c:f>
              <c:strCache>
                <c:ptCount val="1"/>
                <c:pt idx="0">
                  <c:v>Менеджер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'Оценочкая загрузка,%'!$A$5:$A$10</c:f>
              <c:strCache>
                <c:ptCount val="6"/>
                <c:pt idx="0">
                  <c:v>18.09.2026</c:v>
                </c:pt>
                <c:pt idx="1">
                  <c:v>21.09.2026</c:v>
                </c:pt>
                <c:pt idx="2">
                  <c:v>22.09.2026</c:v>
                </c:pt>
                <c:pt idx="3">
                  <c:v>23.09.2026</c:v>
                </c:pt>
                <c:pt idx="4">
                  <c:v>24.09.2026</c:v>
                </c:pt>
                <c:pt idx="5">
                  <c:v>25.09.2026</c:v>
                </c:pt>
              </c:strCache>
            </c:strRef>
          </c:cat>
          <c:val>
            <c:numRef>
              <c:f>'Оценочкая загрузка,%'!$B$5:$B$10</c:f>
              <c:numCache>
                <c:formatCode>0.0%</c:formatCode>
                <c:ptCount val="6"/>
                <c:pt idx="0">
                  <c:v>0.14166666666666666</c:v>
                </c:pt>
                <c:pt idx="1">
                  <c:v>0.34375</c:v>
                </c:pt>
                <c:pt idx="2">
                  <c:v>0.35833333333333334</c:v>
                </c:pt>
                <c:pt idx="3">
                  <c:v>0.3</c:v>
                </c:pt>
                <c:pt idx="4">
                  <c:v>0.25624999999999998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0-48D2-B3E4-E9099B7008A9}"/>
            </c:ext>
          </c:extLst>
        </c:ser>
        <c:ser>
          <c:idx val="1"/>
          <c:order val="1"/>
          <c:tx>
            <c:strRef>
              <c:f>'Оценочкая загрузка,%'!$C$3:$C$4</c:f>
              <c:strCache>
                <c:ptCount val="1"/>
                <c:pt idx="0">
                  <c:v>Менеджер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'Оценочкая загрузка,%'!$A$5:$A$10</c:f>
              <c:strCache>
                <c:ptCount val="6"/>
                <c:pt idx="0">
                  <c:v>18.09.2026</c:v>
                </c:pt>
                <c:pt idx="1">
                  <c:v>21.09.2026</c:v>
                </c:pt>
                <c:pt idx="2">
                  <c:v>22.09.2026</c:v>
                </c:pt>
                <c:pt idx="3">
                  <c:v>23.09.2026</c:v>
                </c:pt>
                <c:pt idx="4">
                  <c:v>24.09.2026</c:v>
                </c:pt>
                <c:pt idx="5">
                  <c:v>25.09.2026</c:v>
                </c:pt>
              </c:strCache>
            </c:strRef>
          </c:cat>
          <c:val>
            <c:numRef>
              <c:f>'Оценочкая загрузка,%'!$C$5:$C$10</c:f>
              <c:numCache>
                <c:formatCode>0.0%</c:formatCode>
                <c:ptCount val="6"/>
                <c:pt idx="1">
                  <c:v>0.35</c:v>
                </c:pt>
                <c:pt idx="2">
                  <c:v>0.36666666666666664</c:v>
                </c:pt>
                <c:pt idx="3">
                  <c:v>0.22916666666666666</c:v>
                </c:pt>
                <c:pt idx="4">
                  <c:v>0.17916666666666667</c:v>
                </c:pt>
                <c:pt idx="5">
                  <c:v>0.32291666666666669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0-48D2-B3E4-E9099B7008A9}"/>
            </c:ext>
          </c:extLst>
        </c:ser>
        <c:ser>
          <c:idx val="2"/>
          <c:order val="2"/>
          <c:tx>
            <c:strRef>
              <c:f>'Оценочкая загрузка,%'!$D$3:$D$4</c:f>
              <c:strCache>
                <c:ptCount val="1"/>
                <c:pt idx="0">
                  <c:v>Менеджер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'Оценочкая загрузка,%'!$A$5:$A$10</c:f>
              <c:strCache>
                <c:ptCount val="6"/>
                <c:pt idx="0">
                  <c:v>18.09.2026</c:v>
                </c:pt>
                <c:pt idx="1">
                  <c:v>21.09.2026</c:v>
                </c:pt>
                <c:pt idx="2">
                  <c:v>22.09.2026</c:v>
                </c:pt>
                <c:pt idx="3">
                  <c:v>23.09.2026</c:v>
                </c:pt>
                <c:pt idx="4">
                  <c:v>24.09.2026</c:v>
                </c:pt>
                <c:pt idx="5">
                  <c:v>25.09.2026</c:v>
                </c:pt>
              </c:strCache>
            </c:strRef>
          </c:cat>
          <c:val>
            <c:numRef>
              <c:f>'Оценочкая загрузка,%'!$D$5:$D$10</c:f>
              <c:numCache>
                <c:formatCode>0.0%</c:formatCode>
                <c:ptCount val="6"/>
                <c:pt idx="3">
                  <c:v>0.29166666666666669</c:v>
                </c:pt>
                <c:pt idx="4">
                  <c:v>0.12291666666666666</c:v>
                </c:pt>
                <c:pt idx="5">
                  <c:v>0.36458333333333331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0-48D2-B3E4-E9099B70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89312"/>
        <c:axId val="1946428432"/>
      </c:lineChart>
      <c:catAx>
        <c:axId val="2725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428432"/>
        <c:crosses val="autoZero"/>
        <c:auto val="1"/>
        <c:lblAlgn val="ctr"/>
        <c:lblOffset val="100"/>
        <c:noMultiLvlLbl val="0"/>
      </c:catAx>
      <c:valAx>
        <c:axId val="19464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5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2</xdr:row>
      <xdr:rowOff>106680</xdr:rowOff>
    </xdr:from>
    <xdr:to>
      <xdr:col>12</xdr:col>
      <xdr:colOff>68580</xdr:colOff>
      <xdr:row>7</xdr:row>
      <xdr:rowOff>45720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33814A-A823-A157-DCB8-7AAB2F81191A}"/>
            </a:ext>
          </a:extLst>
        </xdr:cNvPr>
        <xdr:cNvSpPr txBox="1"/>
      </xdr:nvSpPr>
      <xdr:spPr>
        <a:xfrm>
          <a:off x="7185660" y="472440"/>
          <a:ext cx="336804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Учтённая загрузка -34%. Расчёт оценочный, без учёта работы в </a:t>
          </a:r>
          <a:r>
            <a:rPr lang="en-US" sz="1100"/>
            <a:t>CRM </a:t>
          </a:r>
          <a:r>
            <a:rPr lang="ru-RU" sz="1100"/>
            <a:t>и других задач. Менеджер 3 -один рабочий день после больничного.</a:t>
          </a:r>
        </a:p>
      </xdr:txBody>
    </xdr:sp>
    <xdr:clientData/>
  </xdr:twoCellAnchor>
  <xdr:twoCellAnchor>
    <xdr:from>
      <xdr:col>11</xdr:col>
      <xdr:colOff>415017</xdr:colOff>
      <xdr:row>14</xdr:row>
      <xdr:rowOff>88446</xdr:rowOff>
    </xdr:from>
    <xdr:to>
      <xdr:col>15</xdr:col>
      <xdr:colOff>455840</xdr:colOff>
      <xdr:row>24</xdr:row>
      <xdr:rowOff>136071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6BD9AC-D11E-D1FD-8D6D-3952A5931A17}"/>
            </a:ext>
          </a:extLst>
        </xdr:cNvPr>
        <xdr:cNvSpPr txBox="1"/>
      </xdr:nvSpPr>
      <xdr:spPr>
        <a:xfrm>
          <a:off x="9661071" y="2680607"/>
          <a:ext cx="2490108" cy="1884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Обратная связь менеджеров: много недозвонов. Часть встреч назначается ради выполнения плана, без достаточной квалификации клиента. В результате коллеги тратят время на неперспективные встречи.</a:t>
          </a:r>
        </a:p>
        <a:p>
          <a:r>
            <a:rPr lang="ru-RU" sz="1100"/>
            <a:t>Предложение: повысить качество квалификации клиентов на первом звонке, чтобы назначать целевые встречи, а не просто увеличивать их количество.</a:t>
          </a:r>
        </a:p>
        <a:p>
          <a:endParaRPr lang="ru-RU" sz="1100"/>
        </a:p>
      </xdr:txBody>
    </xdr:sp>
    <xdr:clientData/>
  </xdr:twoCellAnchor>
  <xdr:twoCellAnchor>
    <xdr:from>
      <xdr:col>0</xdr:col>
      <xdr:colOff>122464</xdr:colOff>
      <xdr:row>13</xdr:row>
      <xdr:rowOff>163286</xdr:rowOff>
    </xdr:from>
    <xdr:to>
      <xdr:col>3</xdr:col>
      <xdr:colOff>496660</xdr:colOff>
      <xdr:row>28</xdr:row>
      <xdr:rowOff>151040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AB90911-B511-4099-8EFF-627CD9281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136071</xdr:colOff>
      <xdr:row>13</xdr:row>
      <xdr:rowOff>149679</xdr:rowOff>
    </xdr:from>
    <xdr:to>
      <xdr:col>10</xdr:col>
      <xdr:colOff>54428</xdr:colOff>
      <xdr:row>28</xdr:row>
      <xdr:rowOff>137433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91701BA-866C-4DF3-8526-54B4E5812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3</xdr:col>
      <xdr:colOff>374196</xdr:colOff>
      <xdr:row>51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B2B57E-F4F5-4CBC-9F91-850142D88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8</xdr:row>
      <xdr:rowOff>213360</xdr:rowOff>
    </xdr:from>
    <xdr:to>
      <xdr:col>11</xdr:col>
      <xdr:colOff>464820</xdr:colOff>
      <xdr:row>10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CAEF0D-83A6-22A8-4E4B-8EA7CEC7C45B}"/>
            </a:ext>
          </a:extLst>
        </xdr:cNvPr>
        <xdr:cNvSpPr txBox="1"/>
      </xdr:nvSpPr>
      <xdr:spPr>
        <a:xfrm>
          <a:off x="4632960" y="3886200"/>
          <a:ext cx="4533900" cy="861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b="1"/>
            <a:t>Жёлтые ячейки -</a:t>
          </a:r>
          <a:r>
            <a:rPr lang="ru-RU" b="1" baseline="0"/>
            <a:t> </a:t>
          </a:r>
          <a:r>
            <a:rPr lang="ru-RU" b="1"/>
            <a:t>ручной ввод.</a:t>
          </a:r>
          <a:r>
            <a:rPr lang="ru-RU"/>
            <a:t> Ежедневные результаты и время вносите на лист «Исходники», общие лиды - на лист «Лиды компании» один раз за дату. Период выбирайте на «Сводке» в E18–E19. Итоги и графики пересчитываются автоматически.</a:t>
          </a:r>
          <a:endParaRPr lang="ru-RU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0.737215972222" createdVersion="8" refreshedVersion="8" minRefreshableVersion="3" recordCount="18" xr:uid="{B7F0F0F9-7B88-46EF-9D0F-1E9BAE554AA2}">
  <cacheSource type="worksheet">
    <worksheetSource name="Таблица1"/>
  </cacheSource>
  <cacheFields count="16">
    <cacheField name="Дата " numFmtId="14">
      <sharedItems containsSemiMixedTypes="0" containsNonDate="0" containsDate="1" containsString="0" minDate="2026-09-18T00:00:00" maxDate="2026-09-26T00:00:00" count="6">
        <d v="2026-09-18T00:00:00"/>
        <d v="2026-09-21T00:00:00"/>
        <d v="2026-09-22T00:00:00"/>
        <d v="2026-09-23T00:00:00"/>
        <d v="2026-09-24T00:00:00"/>
        <d v="2026-09-25T00:00:00"/>
      </sharedItems>
    </cacheField>
    <cacheField name="Менеджер " numFmtId="0">
      <sharedItems count="6">
        <s v="Менеджер 1"/>
        <s v="Менеджер 2"/>
        <s v="Менеджер 3"/>
        <s v="Успенский Сергей" u="1"/>
        <s v="Миронова Ольга" u="1"/>
        <s v="Калмыкова Наталья" u="1"/>
      </sharedItems>
    </cacheField>
    <cacheField name="Новые лиды компании" numFmtId="0">
      <sharedItems containsSemiMixedTypes="0" containsString="0" containsNumber="1" containsInteger="1" minValue="15" maxValue="42"/>
    </cacheField>
    <cacheField name="Кол-во наборов" numFmtId="0">
      <sharedItems containsString="0" containsBlank="1" containsNumber="1" containsInteger="1" minValue="8" maxValue="52"/>
    </cacheField>
    <cacheField name="Кол-во диалогов от 30 сек" numFmtId="0">
      <sharedItems containsString="0" containsBlank="1" containsNumber="1" containsInteger="1" minValue="3" maxValue="25"/>
    </cacheField>
    <cacheField name="Кол-во назначанных встреч" numFmtId="0">
      <sharedItems containsString="0" containsBlank="1" containsNumber="1" containsInteger="1" minValue="0" maxValue="3"/>
    </cacheField>
    <cacheField name="Кол-во проведенных встреч" numFmtId="0">
      <sharedItems containsString="0" containsBlank="1" containsNumber="1" containsInteger="1" minValue="0" maxValue="1"/>
    </cacheField>
    <cacheField name="Конверсия  набора в диалог, %" numFmtId="9">
      <sharedItems containsMixedTypes="1" containsNumber="1" minValue="0.13461538461538461" maxValue="1.6666666666666667"/>
    </cacheField>
    <cacheField name="Конверсия диалога во встречу, %" numFmtId="9">
      <sharedItems containsMixedTypes="1" containsNumber="1" minValue="0.08" maxValue="0.4"/>
    </cacheField>
    <cacheField name="Назначено встерч на 100 наборов " numFmtId="2">
      <sharedItems containsMixedTypes="1" containsNumber="1" minValue="1.9230769230769231" maxValue="20"/>
    </cacheField>
    <cacheField name="Комментарий" numFmtId="0">
      <sharedItems containsBlank="1"/>
    </cacheField>
    <cacheField name="Отработано часов " numFmtId="0">
      <sharedItems containsSemiMixedTypes="0" containsString="0" containsNumber="1" containsInteger="1" minValue="0" maxValue="8"/>
    </cacheField>
    <cacheField name="Входящие, мин" numFmtId="0">
      <sharedItems containsSemiMixedTypes="0" containsString="0" containsNumber="1" containsInteger="1" minValue="0" maxValue="25"/>
    </cacheField>
    <cacheField name="Исходящие, мин" numFmtId="0">
      <sharedItems containsSemiMixedTypes="0" containsString="0" containsNumber="1" containsInteger="1" minValue="0" maxValue="60"/>
    </cacheField>
    <cacheField name="Планерки, мин" numFmtId="0">
      <sharedItems containsSemiMixedTypes="0" containsString="0" containsNumber="1" containsInteger="1" minValue="0" maxValue="60"/>
    </cacheField>
    <cacheField name="Оценочная загрузка, %" numFmtId="9">
      <sharedItems containsMixedTypes="1" containsNumber="1" minValue="0.12291666666666666" maxValue="0.3666666666666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33"/>
    <n v="21"/>
    <n v="3"/>
    <n v="1"/>
    <n v="0"/>
    <n v="0.14285714285714285"/>
    <n v="0.33333333333333331"/>
    <n v="4.7619047619047619"/>
    <m/>
    <n v="8"/>
    <n v="1"/>
    <n v="7"/>
    <n v="60"/>
    <n v="0.14166666666666666"/>
  </r>
  <r>
    <x v="1"/>
    <x v="0"/>
    <n v="36"/>
    <n v="38"/>
    <n v="11"/>
    <n v="3"/>
    <n v="1"/>
    <n v="0.28947368421052633"/>
    <n v="0.27272727272727271"/>
    <n v="7.8947368421052628"/>
    <m/>
    <n v="8"/>
    <n v="0"/>
    <n v="45"/>
    <n v="60"/>
    <n v="0.34375"/>
  </r>
  <r>
    <x v="2"/>
    <x v="0"/>
    <n v="32"/>
    <n v="52"/>
    <n v="7"/>
    <n v="1"/>
    <n v="1"/>
    <n v="0.13461538461538461"/>
    <n v="0.14285714285714285"/>
    <n v="1.9230769230769231"/>
    <m/>
    <n v="8"/>
    <n v="1"/>
    <n v="51"/>
    <n v="60"/>
    <n v="0.35833333333333334"/>
  </r>
  <r>
    <x v="3"/>
    <x v="0"/>
    <n v="42"/>
    <n v="38"/>
    <n v="7"/>
    <n v="1"/>
    <n v="1"/>
    <n v="0.18421052631578946"/>
    <n v="0.14285714285714285"/>
    <n v="2.6315789473684208"/>
    <m/>
    <n v="8"/>
    <n v="0"/>
    <n v="24"/>
    <n v="60"/>
    <n v="0.3"/>
  </r>
  <r>
    <x v="0"/>
    <x v="1"/>
    <n v="33"/>
    <m/>
    <m/>
    <n v="0"/>
    <n v="0"/>
    <s v=""/>
    <s v=""/>
    <s v=""/>
    <m/>
    <n v="0"/>
    <n v="0"/>
    <n v="0"/>
    <n v="0"/>
    <s v=""/>
  </r>
  <r>
    <x v="1"/>
    <x v="1"/>
    <n v="36"/>
    <n v="36"/>
    <n v="10"/>
    <n v="1"/>
    <n v="1"/>
    <n v="0.27777777777777779"/>
    <n v="0.1"/>
    <n v="2.7777777777777777"/>
    <m/>
    <n v="8"/>
    <n v="10"/>
    <n v="38"/>
    <n v="60"/>
    <n v="0.35"/>
  </r>
  <r>
    <x v="2"/>
    <x v="1"/>
    <n v="32"/>
    <n v="15"/>
    <n v="10"/>
    <n v="1"/>
    <n v="1"/>
    <n v="0.66666666666666663"/>
    <n v="0.1"/>
    <n v="6.666666666666667"/>
    <m/>
    <n v="8"/>
    <n v="10"/>
    <n v="46"/>
    <n v="60"/>
    <n v="0.36666666666666664"/>
  </r>
  <r>
    <x v="3"/>
    <x v="1"/>
    <n v="42"/>
    <n v="32"/>
    <n v="12"/>
    <n v="1"/>
    <n v="0"/>
    <n v="0.375"/>
    <n v="8.3333333333333329E-2"/>
    <n v="3.125"/>
    <m/>
    <n v="8"/>
    <n v="4"/>
    <n v="46"/>
    <n v="60"/>
    <n v="0.22916666666666666"/>
  </r>
  <r>
    <x v="0"/>
    <x v="2"/>
    <n v="33"/>
    <m/>
    <m/>
    <m/>
    <m/>
    <s v=""/>
    <s v=""/>
    <s v=""/>
    <s v="б/л"/>
    <n v="0"/>
    <n v="0"/>
    <n v="0"/>
    <n v="0"/>
    <s v=""/>
  </r>
  <r>
    <x v="1"/>
    <x v="2"/>
    <n v="36"/>
    <m/>
    <m/>
    <m/>
    <m/>
    <s v=""/>
    <s v=""/>
    <s v=""/>
    <s v="б/л"/>
    <n v="0"/>
    <n v="0"/>
    <n v="0"/>
    <n v="0"/>
    <s v=""/>
  </r>
  <r>
    <x v="2"/>
    <x v="2"/>
    <n v="32"/>
    <m/>
    <m/>
    <m/>
    <m/>
    <s v=""/>
    <s v=""/>
    <s v=""/>
    <s v="б/л"/>
    <n v="0"/>
    <n v="0"/>
    <n v="0"/>
    <n v="0"/>
    <s v=""/>
  </r>
  <r>
    <x v="3"/>
    <x v="2"/>
    <n v="42"/>
    <n v="31"/>
    <n v="8"/>
    <n v="2"/>
    <n v="1"/>
    <n v="0.25806451612903225"/>
    <n v="0.25"/>
    <n v="6.4516129032258061"/>
    <s v=" "/>
    <n v="8"/>
    <n v="0"/>
    <n v="20"/>
    <n v="60"/>
    <n v="0.29166666666666669"/>
  </r>
  <r>
    <x v="4"/>
    <x v="0"/>
    <n v="33"/>
    <n v="46"/>
    <n v="10"/>
    <n v="1"/>
    <n v="1"/>
    <n v="0.21739130434782608"/>
    <n v="0.1"/>
    <n v="2.1739130434782608"/>
    <m/>
    <n v="8"/>
    <n v="0"/>
    <n v="23"/>
    <n v="40"/>
    <n v="0.25624999999999998"/>
  </r>
  <r>
    <x v="4"/>
    <x v="1"/>
    <n v="33"/>
    <n v="8"/>
    <n v="6"/>
    <n v="1"/>
    <n v="0"/>
    <n v="0.75"/>
    <n v="0.16666666666666666"/>
    <n v="12.5"/>
    <m/>
    <n v="8"/>
    <n v="9"/>
    <n v="37"/>
    <n v="40"/>
    <n v="0.17916666666666667"/>
  </r>
  <r>
    <x v="4"/>
    <x v="2"/>
    <n v="33"/>
    <n v="45"/>
    <n v="8"/>
    <n v="1"/>
    <n v="0"/>
    <n v="0.17777777777777778"/>
    <n v="0.125"/>
    <n v="2.2222222222222223"/>
    <m/>
    <n v="8"/>
    <n v="0"/>
    <n v="19"/>
    <n v="40"/>
    <n v="0.12291666666666666"/>
  </r>
  <r>
    <x v="5"/>
    <x v="0"/>
    <n v="15"/>
    <n v="10"/>
    <n v="5"/>
    <n v="2"/>
    <n v="1"/>
    <n v="0.5"/>
    <n v="0.4"/>
    <n v="20"/>
    <m/>
    <n v="8"/>
    <n v="10"/>
    <n v="20"/>
    <n v="30"/>
    <n v="0.25"/>
  </r>
  <r>
    <x v="5"/>
    <x v="1"/>
    <n v="15"/>
    <n v="20"/>
    <n v="15"/>
    <n v="3"/>
    <n v="1"/>
    <n v="0.75"/>
    <n v="0.2"/>
    <n v="15"/>
    <m/>
    <n v="8"/>
    <n v="15"/>
    <n v="50"/>
    <n v="30"/>
    <n v="0.32291666666666669"/>
  </r>
  <r>
    <x v="5"/>
    <x v="2"/>
    <n v="15"/>
    <n v="15"/>
    <n v="25"/>
    <n v="2"/>
    <n v="1"/>
    <n v="1.6666666666666667"/>
    <n v="0.08"/>
    <n v="13.333333333333334"/>
    <m/>
    <n v="8"/>
    <n v="25"/>
    <n v="60"/>
    <n v="30"/>
    <n v="0.36458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F66AE-3AAA-4665-9C02-61FE677471B0}" name="Сводная таблица1" cacheId="0" applyNumberFormats="0" applyBorderFormats="0" applyFontFormats="0" applyPatternFormats="0" applyAlignmentFormats="0" applyWidthHeightFormats="1" dataCaption="Значения" showError="1" updatedVersion="8" minRefreshableVersion="3" useAutoFormatting="1" rowGrandTotals="0" colGrandTotals="0" itemPrintTitles="1" createdVersion="8" indent="0" outline="1" outlineData="1" multipleFieldFilters="0" chartFormat="9">
  <location ref="A3:D10" firstHeaderRow="1" firstDataRow="2" firstDataCol="1"/>
  <pivotFields count="16">
    <pivotField axis="axisRow" numFmtId="14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6">
        <item m="1" x="5"/>
        <item m="1" x="4"/>
        <item m="1" x="3"/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3">
    <i>
      <x v="3"/>
    </i>
    <i>
      <x v="4"/>
    </i>
    <i>
      <x v="5"/>
    </i>
  </colItems>
  <dataFields count="1">
    <dataField name="Среднее по полю Оценочная загрузка, %" fld="15" subtotal="average" baseField="0" baseItem="0" numFmtId="166"/>
  </dataFields>
  <formats count="1">
    <format dxfId="15">
      <pivotArea field="0" grandCol="1" collapsedLevelsAreSubtotals="1" axis="axisRow" fieldPosition="0">
        <references count="1">
          <reference field="0" count="0"/>
        </references>
      </pivotArea>
    </format>
  </formats>
  <chartFormats count="6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1333E-03BA-49E0-95C7-0E7766C110FD}" name="Таблица1" displayName="Таблица1" ref="A1:P19" totalsRowShown="0" headerRowDxfId="14" headerRowBorderDxfId="13" tableBorderDxfId="12" totalsRowBorderDxfId="11">
  <autoFilter ref="A1:P19" xr:uid="{8541333E-03BA-49E0-95C7-0E7766C110FD}"/>
  <tableColumns count="16">
    <tableColumn id="1" xr3:uid="{F03493B9-BC06-4F21-9A08-F773B5EE01F0}" name="Дата " dataDxfId="10"/>
    <tableColumn id="2" xr3:uid="{3B1DA52F-08B8-4DEF-80A9-FEA2EDC2990F}" name="Менеджер " dataDxfId="9"/>
    <tableColumn id="3" xr3:uid="{2502B47C-9F6D-4EF9-9730-29443E9D7382}" name="Новые лиды компании" dataDxfId="8">
      <calculatedColumnFormula>SUMIF('Лиды компании'!$A$2:$A$10000,A2,'Лиды компании'!$B$2:$B$10000)</calculatedColumnFormula>
    </tableColumn>
    <tableColumn id="4" xr3:uid="{9E92E09E-C254-42BB-85A8-005BE0F7B6AE}" name="Кол-во наборов" dataDxfId="7"/>
    <tableColumn id="5" xr3:uid="{3AC62327-6C59-4D73-912E-B2CC157611C1}" name="Кол-во диалогов от 30 сек" dataDxfId="6"/>
    <tableColumn id="6" xr3:uid="{99C65F22-87FF-4BFC-93A0-E4AB640ED41C}" name="Кол-во назначанных встреч" dataDxfId="5"/>
    <tableColumn id="7" xr3:uid="{B4917961-C8B4-413D-8D7D-6CB61F2BBCBC}" name="Кол-во проведенных встреч" dataDxfId="4"/>
    <tableColumn id="8" xr3:uid="{40A80220-D334-4BC9-A66F-25E3C1C97190}" name="Конверсия  набора в диалог, %" dataDxfId="3" dataCellStyle="Процентный">
      <calculatedColumnFormula>IF(OR(D2="",D2=0),"",E2/D2)</calculatedColumnFormula>
    </tableColumn>
    <tableColumn id="9" xr3:uid="{CAFB3F5F-D51F-44BC-A16B-BA4B1B289FCF}" name="Конверсия диалога во встречу, %" dataDxfId="2" dataCellStyle="Процентный">
      <calculatedColumnFormula>IF(OR(E2="",E2=0),"",F2/E2)</calculatedColumnFormula>
    </tableColumn>
    <tableColumn id="10" xr3:uid="{72F77EB0-4390-4888-9706-CBB95BD60D29}" name="Назначено встерч на 100 наборов " dataDxfId="1" dataCellStyle="Процентный">
      <calculatedColumnFormula>IF(OR(D2="",D2=0),"",F2/D2*100)</calculatedColumnFormula>
    </tableColumn>
    <tableColumn id="11" xr3:uid="{B2FC4B1C-A70E-4717-B2AA-8E72A95631BA}" name="Комментарий" dataDxfId="0"/>
    <tableColumn id="12" xr3:uid="{F32B1BC4-D329-4D97-A71C-6F63461A0329}" name="Отработано часов "/>
    <tableColumn id="13" xr3:uid="{BE6CA922-BA56-477F-8DBF-4C0FE0F5BEC6}" name="Входящие, мин"/>
    <tableColumn id="14" xr3:uid="{CC542637-188E-406A-B724-E2BA1764A608}" name="Исходящие, мин"/>
    <tableColumn id="15" xr3:uid="{3563F925-12D8-4032-8C90-4C6AF47DDF8D}" name="Планерки, мин"/>
    <tableColumn id="16" xr3:uid="{F431BCA1-7BFE-404B-9E77-26287D01900B}" name="Оценочная загрузка, %" dataCellStyle="Процентный">
      <calculatedColumnFormula>IF(L2=0,"",(M2+N2+O2+G2*60)/(L2*60))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3D88-30FA-4495-ADF9-C23440AA5C96}">
  <dimension ref="A3:D10"/>
  <sheetViews>
    <sheetView workbookViewId="0">
      <selection activeCell="A6" sqref="A6"/>
    </sheetView>
  </sheetViews>
  <sheetFormatPr defaultRowHeight="14.4" x14ac:dyDescent="0.3"/>
  <cols>
    <col min="1" max="1" width="37.77734375" bestFit="1" customWidth="1"/>
    <col min="2" max="2" width="20.33203125" bestFit="1" customWidth="1"/>
    <col min="3" max="4" width="12" bestFit="1" customWidth="1"/>
    <col min="5" max="5" width="11.33203125" bestFit="1" customWidth="1"/>
  </cols>
  <sheetData>
    <row r="3" spans="1:4" x14ac:dyDescent="0.3">
      <c r="A3" s="81" t="s">
        <v>73</v>
      </c>
      <c r="B3" s="81" t="s">
        <v>72</v>
      </c>
    </row>
    <row r="4" spans="1:4" x14ac:dyDescent="0.3">
      <c r="A4" s="81" t="s">
        <v>71</v>
      </c>
      <c r="B4" t="s">
        <v>80</v>
      </c>
      <c r="C4" t="s">
        <v>81</v>
      </c>
      <c r="D4" t="s">
        <v>82</v>
      </c>
    </row>
    <row r="5" spans="1:4" x14ac:dyDescent="0.3">
      <c r="A5" s="82">
        <v>46283</v>
      </c>
      <c r="B5" s="83">
        <v>0.14166666666666666</v>
      </c>
      <c r="C5" s="83"/>
      <c r="D5" s="83"/>
    </row>
    <row r="6" spans="1:4" x14ac:dyDescent="0.3">
      <c r="A6" s="82">
        <v>46286</v>
      </c>
      <c r="B6" s="83">
        <v>0.34375</v>
      </c>
      <c r="C6" s="83">
        <v>0.35</v>
      </c>
      <c r="D6" s="83"/>
    </row>
    <row r="7" spans="1:4" x14ac:dyDescent="0.3">
      <c r="A7" s="82">
        <v>46287</v>
      </c>
      <c r="B7" s="83">
        <v>0.35833333333333334</v>
      </c>
      <c r="C7" s="83">
        <v>0.36666666666666664</v>
      </c>
      <c r="D7" s="83"/>
    </row>
    <row r="8" spans="1:4" x14ac:dyDescent="0.3">
      <c r="A8" s="82">
        <v>46288</v>
      </c>
      <c r="B8" s="83">
        <v>0.3</v>
      </c>
      <c r="C8" s="83">
        <v>0.22916666666666666</v>
      </c>
      <c r="D8" s="83">
        <v>0.29166666666666669</v>
      </c>
    </row>
    <row r="9" spans="1:4" x14ac:dyDescent="0.3">
      <c r="A9" s="82">
        <v>46289</v>
      </c>
      <c r="B9" s="83">
        <v>0.25624999999999998</v>
      </c>
      <c r="C9" s="83">
        <v>0.17916666666666667</v>
      </c>
      <c r="D9" s="83">
        <v>0.12291666666666666</v>
      </c>
    </row>
    <row r="10" spans="1:4" x14ac:dyDescent="0.3">
      <c r="A10" s="82">
        <v>46290</v>
      </c>
      <c r="B10" s="83">
        <v>0.25</v>
      </c>
      <c r="C10" s="83">
        <v>0.32291666666666669</v>
      </c>
      <c r="D10" s="83">
        <v>0.36458333333333331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B3C6-35F3-4530-81FE-6323EE99C962}">
  <dimension ref="A1:Q35"/>
  <sheetViews>
    <sheetView tabSelected="1" topLeftCell="A25" zoomScale="112" zoomScaleNormal="112" workbookViewId="0">
      <selection activeCell="H40" sqref="H40"/>
    </sheetView>
  </sheetViews>
  <sheetFormatPr defaultRowHeight="14.4" x14ac:dyDescent="0.3"/>
  <cols>
    <col min="1" max="1" width="31.109375" customWidth="1"/>
    <col min="2" max="2" width="22.6640625" customWidth="1"/>
    <col min="4" max="4" width="14.109375" customWidth="1"/>
    <col min="5" max="5" width="11.77734375" customWidth="1"/>
    <col min="6" max="6" width="11.21875" customWidth="1"/>
    <col min="7" max="7" width="12" customWidth="1"/>
    <col min="8" max="8" width="11.5546875" customWidth="1"/>
    <col min="9" max="9" width="11.44140625" customWidth="1"/>
  </cols>
  <sheetData>
    <row r="1" spans="1:6" x14ac:dyDescent="0.3">
      <c r="A1" s="96" t="s">
        <v>19</v>
      </c>
      <c r="B1" s="96"/>
    </row>
    <row r="2" spans="1:6" x14ac:dyDescent="0.3">
      <c r="A2" t="str">
        <f>"Период: "&amp;TEXT(Сводка!E9,"ДД.ММ.ГГГГ")&amp;" — "&amp;TEXT(Сводка!E10,"ДД.ММ.ГГГГ")</f>
        <v>Период: 25.09.2026 — 25.09.2026</v>
      </c>
    </row>
    <row r="3" spans="1:6" ht="15" thickBot="1" x14ac:dyDescent="0.35"/>
    <row r="4" spans="1:6" ht="86.4" x14ac:dyDescent="0.3">
      <c r="A4" s="58" t="s">
        <v>2</v>
      </c>
      <c r="B4" s="58" t="s">
        <v>55</v>
      </c>
      <c r="C4" s="58" t="s">
        <v>54</v>
      </c>
      <c r="D4" s="59" t="s">
        <v>56</v>
      </c>
      <c r="E4" s="55" t="s">
        <v>1</v>
      </c>
      <c r="F4" s="61" t="str">
        <f>"Оценочная загрузка за "&amp;TEXT(Сводка!$E$9,"ДД.ММ.ГГГГ")&amp;" — "&amp;TEXT(Сводка!$E$10,"ДД.ММ.ГГГГ")&amp;", %"</f>
        <v>Оценочная загрузка за 25.09.2026 — 25.09.2026, %</v>
      </c>
    </row>
    <row r="5" spans="1:6" x14ac:dyDescent="0.3">
      <c r="A5" s="1" t="s">
        <v>13</v>
      </c>
      <c r="B5" s="1">
        <f>SUMIFS('Лиды компании'!$B$2:$B$10000,'Лиды компании'!$A$2:$A$10000,"&gt;="&amp;Сводка!$E$9,'Лиды компании'!$A$2:$A$10000,"&lt;"&amp;(Сводка!$E$10+1))</f>
        <v>15</v>
      </c>
      <c r="C5" s="1"/>
      <c r="D5" s="1"/>
      <c r="E5" s="56" t="s">
        <v>80</v>
      </c>
      <c r="F5" s="16">
        <f>Сводка!I3</f>
        <v>0.25</v>
      </c>
    </row>
    <row r="6" spans="1:6" x14ac:dyDescent="0.3">
      <c r="A6" s="34" t="s">
        <v>30</v>
      </c>
      <c r="B6" s="34">
        <f>Сводка!G19</f>
        <v>60</v>
      </c>
      <c r="C6" s="72">
        <f>Сводка!C19</f>
        <v>180</v>
      </c>
      <c r="D6" s="73">
        <f>Сводка!K19</f>
        <v>0.33333333333333331</v>
      </c>
      <c r="E6" s="56" t="s">
        <v>81</v>
      </c>
      <c r="F6" s="15">
        <f>Сводка!I4</f>
        <v>0.32291666666666669</v>
      </c>
    </row>
    <row r="7" spans="1:6" ht="15" thickBot="1" x14ac:dyDescent="0.35">
      <c r="A7" s="34" t="s">
        <v>66</v>
      </c>
      <c r="B7" s="34">
        <f>Сводка!H19</f>
        <v>45</v>
      </c>
      <c r="C7" s="72">
        <f>Сводка!D19</f>
        <v>90</v>
      </c>
      <c r="D7" s="73">
        <f>Сводка!L19</f>
        <v>0.5</v>
      </c>
      <c r="E7" s="57" t="s">
        <v>82</v>
      </c>
      <c r="F7" s="17">
        <f>Сводка!I5</f>
        <v>0.36458333333333331</v>
      </c>
    </row>
    <row r="8" spans="1:6" x14ac:dyDescent="0.3">
      <c r="A8" s="34" t="s">
        <v>20</v>
      </c>
      <c r="B8" s="34">
        <f>Сводка!I19</f>
        <v>7</v>
      </c>
      <c r="C8" s="72">
        <f>Сводка!E19</f>
        <v>9</v>
      </c>
      <c r="D8" s="73">
        <f>Сводка!M19</f>
        <v>0.77777777777777779</v>
      </c>
      <c r="E8" t="s">
        <v>83</v>
      </c>
    </row>
    <row r="9" spans="1:6" x14ac:dyDescent="0.3">
      <c r="A9" s="34" t="s">
        <v>21</v>
      </c>
      <c r="B9" s="34">
        <f>Сводка!J19</f>
        <v>3</v>
      </c>
      <c r="C9" s="72">
        <f>Сводка!F19</f>
        <v>3</v>
      </c>
      <c r="D9" s="73">
        <f>Сводка!N19</f>
        <v>1</v>
      </c>
    </row>
    <row r="10" spans="1:6" x14ac:dyDescent="0.3">
      <c r="A10" s="1" t="s">
        <v>33</v>
      </c>
      <c r="B10" s="60">
        <f>IFERROR(B7/B6,0)</f>
        <v>0.75</v>
      </c>
      <c r="C10" s="1"/>
      <c r="D10" s="1"/>
    </row>
    <row r="11" spans="1:6" x14ac:dyDescent="0.3">
      <c r="A11" s="1" t="s">
        <v>8</v>
      </c>
      <c r="B11" s="60">
        <f>IFERROR(B8/B7,0)</f>
        <v>0.15555555555555556</v>
      </c>
      <c r="C11" s="1"/>
      <c r="D11" s="1"/>
    </row>
    <row r="12" spans="1:6" x14ac:dyDescent="0.3">
      <c r="A12" s="1" t="s">
        <v>34</v>
      </c>
      <c r="B12" s="60">
        <f>IFERROR(B8/B6,0)</f>
        <v>0.11666666666666667</v>
      </c>
      <c r="C12" s="1"/>
      <c r="D12" s="1"/>
    </row>
    <row r="31" spans="1:17" ht="15" thickBot="1" x14ac:dyDescent="0.35"/>
    <row r="32" spans="1:17" ht="57.6" x14ac:dyDescent="0.3">
      <c r="A32" s="25" t="s">
        <v>1</v>
      </c>
      <c r="B32" s="23" t="s">
        <v>22</v>
      </c>
      <c r="C32" s="23" t="s">
        <v>18</v>
      </c>
      <c r="D32" s="23" t="s">
        <v>57</v>
      </c>
      <c r="E32" s="23" t="s">
        <v>20</v>
      </c>
      <c r="F32" s="23" t="s">
        <v>21</v>
      </c>
      <c r="G32" s="23" t="s">
        <v>7</v>
      </c>
      <c r="H32" s="23" t="s">
        <v>8</v>
      </c>
      <c r="I32" s="23" t="s">
        <v>35</v>
      </c>
      <c r="J32" s="23" t="s">
        <v>61</v>
      </c>
      <c r="K32" s="23" t="s">
        <v>62</v>
      </c>
      <c r="L32" s="23" t="s">
        <v>63</v>
      </c>
      <c r="M32" s="23" t="s">
        <v>64</v>
      </c>
      <c r="N32" s="23" t="s">
        <v>75</v>
      </c>
      <c r="O32" s="23" t="s">
        <v>76</v>
      </c>
      <c r="P32" s="23" t="s">
        <v>77</v>
      </c>
      <c r="Q32" s="97" t="s">
        <v>78</v>
      </c>
    </row>
    <row r="33" spans="1:17" x14ac:dyDescent="0.3">
      <c r="A33" s="14" t="str">
        <f>Сводка!A16</f>
        <v>Менеджер 1</v>
      </c>
      <c r="B33" s="1">
        <f>Сводка!G16</f>
        <v>10</v>
      </c>
      <c r="C33" s="1">
        <f>Сводка!H16</f>
        <v>5</v>
      </c>
      <c r="D33" s="1">
        <f>Сводка!B16</f>
        <v>1</v>
      </c>
      <c r="E33" s="1">
        <f>Сводка!I16</f>
        <v>2</v>
      </c>
      <c r="F33" s="1">
        <f>Сводка!J16</f>
        <v>1</v>
      </c>
      <c r="G33" s="22">
        <f>IF(B33=0,"",C33/B33)</f>
        <v>0.5</v>
      </c>
      <c r="H33" s="22">
        <f>IF(C33=0,"",E33/C33)</f>
        <v>0.4</v>
      </c>
      <c r="I33" s="100">
        <f>IF(B33=0,"",E33/B33*100)</f>
        <v>20</v>
      </c>
      <c r="J33" s="1">
        <f>Сводка!C16</f>
        <v>60</v>
      </c>
      <c r="K33" s="1">
        <f>Сводка!D16</f>
        <v>30</v>
      </c>
      <c r="L33" s="1">
        <f>Сводка!E16</f>
        <v>3</v>
      </c>
      <c r="M33" s="1">
        <f>Сводка!F16</f>
        <v>1</v>
      </c>
      <c r="N33" s="22">
        <f>Сводка!K16</f>
        <v>0.16666666666666666</v>
      </c>
      <c r="O33" s="22">
        <f>Сводка!L16</f>
        <v>0.16666666666666666</v>
      </c>
      <c r="P33" s="22">
        <f>Сводка!M16</f>
        <v>0.66666666666666663</v>
      </c>
      <c r="Q33" s="98">
        <f>Сводка!N16</f>
        <v>1</v>
      </c>
    </row>
    <row r="34" spans="1:17" x14ac:dyDescent="0.3">
      <c r="A34" s="14" t="str">
        <f>Сводка!A17</f>
        <v>Менеджер 2</v>
      </c>
      <c r="B34" s="1">
        <f>Сводка!G17</f>
        <v>20</v>
      </c>
      <c r="C34" s="1">
        <f>Сводка!H17</f>
        <v>15</v>
      </c>
      <c r="D34" s="1">
        <f>Сводка!B17</f>
        <v>1</v>
      </c>
      <c r="E34" s="1">
        <f>Сводка!I17</f>
        <v>3</v>
      </c>
      <c r="F34" s="1">
        <f>Сводка!J17</f>
        <v>1</v>
      </c>
      <c r="G34" s="22">
        <f t="shared" ref="G34:G35" si="0">IF(B34=0,"",C34/B34)</f>
        <v>0.75</v>
      </c>
      <c r="H34" s="22">
        <f t="shared" ref="H34:H35" si="1">IF(C34=0,"",E34/C34)</f>
        <v>0.2</v>
      </c>
      <c r="I34" s="100">
        <f t="shared" ref="I34:I35" si="2">IF(B34=0,"",E34/B34*100)</f>
        <v>15</v>
      </c>
      <c r="J34" s="1">
        <f>Сводка!C17</f>
        <v>60</v>
      </c>
      <c r="K34" s="1">
        <f>Сводка!D17</f>
        <v>30</v>
      </c>
      <c r="L34" s="1">
        <f>Сводка!E17</f>
        <v>3</v>
      </c>
      <c r="M34" s="1">
        <f>Сводка!F17</f>
        <v>1</v>
      </c>
      <c r="N34" s="22">
        <f>Сводка!K17</f>
        <v>0.33333333333333331</v>
      </c>
      <c r="O34" s="22">
        <f>Сводка!L17</f>
        <v>0.5</v>
      </c>
      <c r="P34" s="22">
        <f>Сводка!M17</f>
        <v>1</v>
      </c>
      <c r="Q34" s="98">
        <f>Сводка!N17</f>
        <v>1</v>
      </c>
    </row>
    <row r="35" spans="1:17" ht="15" thickBot="1" x14ac:dyDescent="0.35">
      <c r="A35" s="11" t="str">
        <f>Сводка!A18</f>
        <v>Менеджер 3</v>
      </c>
      <c r="B35" s="5">
        <f>Сводка!G18</f>
        <v>30</v>
      </c>
      <c r="C35" s="5">
        <f>Сводка!H18</f>
        <v>25</v>
      </c>
      <c r="D35" s="5">
        <f>Сводка!B18</f>
        <v>1</v>
      </c>
      <c r="E35" s="5">
        <f>Сводка!I18</f>
        <v>2</v>
      </c>
      <c r="F35" s="5">
        <f>Сводка!J18</f>
        <v>1</v>
      </c>
      <c r="G35" s="24">
        <f t="shared" si="0"/>
        <v>0.83333333333333337</v>
      </c>
      <c r="H35" s="24">
        <f t="shared" si="1"/>
        <v>0.08</v>
      </c>
      <c r="I35" s="101">
        <f t="shared" si="2"/>
        <v>6.666666666666667</v>
      </c>
      <c r="J35" s="5">
        <f>Сводка!C18</f>
        <v>60</v>
      </c>
      <c r="K35" s="5">
        <f>Сводка!D18</f>
        <v>30</v>
      </c>
      <c r="L35" s="5">
        <f>Сводка!E18</f>
        <v>3</v>
      </c>
      <c r="M35" s="5">
        <f>Сводка!F18</f>
        <v>1</v>
      </c>
      <c r="N35" s="24">
        <f>Сводка!K18</f>
        <v>0.5</v>
      </c>
      <c r="O35" s="24">
        <f>Сводка!L18</f>
        <v>0.83333333333333337</v>
      </c>
      <c r="P35" s="24">
        <f>Сводка!M18</f>
        <v>0.66666666666666663</v>
      </c>
      <c r="Q35" s="99">
        <f>Сводка!N18</f>
        <v>1</v>
      </c>
    </row>
  </sheetData>
  <mergeCells count="1">
    <mergeCell ref="A1:B1"/>
  </mergeCells>
  <conditionalFormatting sqref="D6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opLeftCell="I1" workbookViewId="0">
      <selection activeCell="T18" sqref="T18"/>
    </sheetView>
  </sheetViews>
  <sheetFormatPr defaultRowHeight="14.4" x14ac:dyDescent="0.3"/>
  <cols>
    <col min="1" max="1" width="13.109375" customWidth="1"/>
    <col min="2" max="2" width="12.88671875" customWidth="1"/>
    <col min="3" max="3" width="23.21875" customWidth="1"/>
    <col min="4" max="4" width="16.88671875" customWidth="1"/>
    <col min="5" max="5" width="25.5546875" customWidth="1"/>
    <col min="6" max="6" width="27.21875" customWidth="1"/>
    <col min="7" max="7" width="27.5546875" customWidth="1"/>
    <col min="8" max="8" width="30" customWidth="1"/>
    <col min="9" max="9" width="32" customWidth="1"/>
    <col min="10" max="10" width="33" customWidth="1"/>
    <col min="11" max="11" width="15.21875" customWidth="1"/>
    <col min="13" max="13" width="10.5546875" customWidth="1"/>
    <col min="14" max="14" width="11.109375" customWidth="1"/>
    <col min="15" max="15" width="10.33203125" customWidth="1"/>
    <col min="19" max="19" width="10.77734375" customWidth="1"/>
    <col min="20" max="20" width="14.109375" customWidth="1"/>
  </cols>
  <sheetData>
    <row r="1" spans="1:16" s="20" customFormat="1" ht="57.6" x14ac:dyDescent="0.3">
      <c r="A1" s="63" t="s">
        <v>0</v>
      </c>
      <c r="B1" s="64" t="s">
        <v>1</v>
      </c>
      <c r="C1" s="64" t="s">
        <v>11</v>
      </c>
      <c r="D1" s="64" t="s">
        <v>3</v>
      </c>
      <c r="E1" s="64" t="s">
        <v>65</v>
      </c>
      <c r="F1" s="64" t="s">
        <v>4</v>
      </c>
      <c r="G1" s="65" t="s">
        <v>5</v>
      </c>
      <c r="H1" s="64" t="s">
        <v>7</v>
      </c>
      <c r="I1" s="64" t="s">
        <v>8</v>
      </c>
      <c r="J1" s="64" t="s">
        <v>9</v>
      </c>
      <c r="K1" s="65" t="s">
        <v>10</v>
      </c>
      <c r="L1" s="64" t="s">
        <v>29</v>
      </c>
      <c r="M1" s="64" t="s">
        <v>25</v>
      </c>
      <c r="N1" s="64" t="s">
        <v>26</v>
      </c>
      <c r="O1" s="64" t="s">
        <v>69</v>
      </c>
      <c r="P1" s="64" t="s">
        <v>32</v>
      </c>
    </row>
    <row r="2" spans="1:16" x14ac:dyDescent="0.3">
      <c r="A2" s="62">
        <v>46283</v>
      </c>
      <c r="B2" s="7" t="s">
        <v>80</v>
      </c>
      <c r="C2" s="2">
        <f>SUMIF('Лиды компании'!$A$2:$A$10000,A2,'Лиды компании'!$B$2:$B$10000)</f>
        <v>33</v>
      </c>
      <c r="D2" s="1">
        <v>21</v>
      </c>
      <c r="E2" s="1">
        <v>3</v>
      </c>
      <c r="F2" s="1">
        <v>1</v>
      </c>
      <c r="G2" s="8">
        <v>0</v>
      </c>
      <c r="H2" s="9">
        <f>IF(OR(D2="",D2=0),"",E2/D2)</f>
        <v>0.14285714285714285</v>
      </c>
      <c r="I2" s="9">
        <f>IF(OR(E2="",E2=0),"",F2/E2)</f>
        <v>0.33333333333333331</v>
      </c>
      <c r="J2" s="10">
        <f>IF(OR(D2="",D2=0),"",F2/D2*100)</f>
        <v>4.7619047619047619</v>
      </c>
      <c r="K2" s="8"/>
      <c r="L2">
        <v>8</v>
      </c>
      <c r="M2">
        <v>1</v>
      </c>
      <c r="N2">
        <v>7</v>
      </c>
      <c r="O2">
        <v>60</v>
      </c>
      <c r="P2" s="80">
        <f t="shared" ref="P2:P16" si="0">IF(L2=0,"",(M2+N2+O2+G2*60)/(L2*60))</f>
        <v>0.14166666666666666</v>
      </c>
    </row>
    <row r="3" spans="1:16" x14ac:dyDescent="0.3">
      <c r="A3" s="62">
        <v>46286</v>
      </c>
      <c r="B3" s="7" t="s">
        <v>80</v>
      </c>
      <c r="C3" s="2">
        <f>SUMIF('Лиды компании'!$A$2:$A$10000,A3,'Лиды компании'!$B$2:$B$10000)</f>
        <v>36</v>
      </c>
      <c r="D3" s="1">
        <v>38</v>
      </c>
      <c r="E3" s="1">
        <v>11</v>
      </c>
      <c r="F3" s="1">
        <v>3</v>
      </c>
      <c r="G3" s="8">
        <v>1</v>
      </c>
      <c r="H3" s="9">
        <f t="shared" ref="H3:H13" si="1">IF(OR(D3="",D3=0),"",E3/D3)</f>
        <v>0.28947368421052633</v>
      </c>
      <c r="I3" s="9">
        <f t="shared" ref="I3:I13" si="2">IF(OR(E3="",E3=0),"",F3/E3)</f>
        <v>0.27272727272727271</v>
      </c>
      <c r="J3" s="10">
        <f t="shared" ref="J3:J13" si="3">IF(OR(D3="",D3=0),"",F3/D3*100)</f>
        <v>7.8947368421052628</v>
      </c>
      <c r="K3" s="8"/>
      <c r="L3">
        <v>8</v>
      </c>
      <c r="M3">
        <v>0</v>
      </c>
      <c r="N3">
        <v>45</v>
      </c>
      <c r="O3">
        <v>60</v>
      </c>
      <c r="P3" s="80">
        <f t="shared" si="0"/>
        <v>0.34375</v>
      </c>
    </row>
    <row r="4" spans="1:16" x14ac:dyDescent="0.3">
      <c r="A4" s="62">
        <v>46287</v>
      </c>
      <c r="B4" s="7" t="s">
        <v>80</v>
      </c>
      <c r="C4" s="2">
        <f>SUMIF('Лиды компании'!$A$2:$A$10000,A4,'Лиды компании'!$B$2:$B$10000)</f>
        <v>32</v>
      </c>
      <c r="D4" s="1">
        <v>52</v>
      </c>
      <c r="E4" s="1">
        <v>7</v>
      </c>
      <c r="F4" s="1">
        <v>1</v>
      </c>
      <c r="G4" s="8">
        <v>1</v>
      </c>
      <c r="H4" s="9">
        <f t="shared" si="1"/>
        <v>0.13461538461538461</v>
      </c>
      <c r="I4" s="9">
        <f t="shared" si="2"/>
        <v>0.14285714285714285</v>
      </c>
      <c r="J4" s="10">
        <f t="shared" si="3"/>
        <v>1.9230769230769231</v>
      </c>
      <c r="K4" s="8"/>
      <c r="L4">
        <v>8</v>
      </c>
      <c r="M4">
        <v>1</v>
      </c>
      <c r="N4">
        <v>51</v>
      </c>
      <c r="O4">
        <v>60</v>
      </c>
      <c r="P4" s="80">
        <f t="shared" si="0"/>
        <v>0.35833333333333334</v>
      </c>
    </row>
    <row r="5" spans="1:16" x14ac:dyDescent="0.3">
      <c r="A5" s="62">
        <v>46288</v>
      </c>
      <c r="B5" s="7" t="s">
        <v>80</v>
      </c>
      <c r="C5" s="2">
        <f>SUMIF('Лиды компании'!$A$2:$A$10000,A5,'Лиды компании'!$B$2:$B$10000)</f>
        <v>42</v>
      </c>
      <c r="D5" s="1">
        <v>38</v>
      </c>
      <c r="E5" s="1">
        <v>7</v>
      </c>
      <c r="F5" s="1">
        <v>1</v>
      </c>
      <c r="G5" s="8">
        <v>1</v>
      </c>
      <c r="H5" s="9">
        <f t="shared" si="1"/>
        <v>0.18421052631578946</v>
      </c>
      <c r="I5" s="9">
        <f t="shared" si="2"/>
        <v>0.14285714285714285</v>
      </c>
      <c r="J5" s="10">
        <f t="shared" si="3"/>
        <v>2.6315789473684208</v>
      </c>
      <c r="K5" s="8"/>
      <c r="L5">
        <v>8</v>
      </c>
      <c r="M5">
        <v>0</v>
      </c>
      <c r="N5">
        <v>24</v>
      </c>
      <c r="O5">
        <v>60</v>
      </c>
      <c r="P5" s="80">
        <f t="shared" si="0"/>
        <v>0.3</v>
      </c>
    </row>
    <row r="6" spans="1:16" x14ac:dyDescent="0.3">
      <c r="A6" s="62">
        <v>46283</v>
      </c>
      <c r="B6" s="7" t="s">
        <v>81</v>
      </c>
      <c r="C6" s="2">
        <f>SUMIF('Лиды компании'!$A$2:$A$10000,A6,'Лиды компании'!$B$2:$B$10000)</f>
        <v>33</v>
      </c>
      <c r="D6" s="1"/>
      <c r="E6" s="1"/>
      <c r="F6" s="1">
        <v>0</v>
      </c>
      <c r="G6" s="8">
        <v>0</v>
      </c>
      <c r="H6" s="9" t="str">
        <f t="shared" si="1"/>
        <v/>
      </c>
      <c r="I6" s="9" t="str">
        <f t="shared" si="2"/>
        <v/>
      </c>
      <c r="J6" s="10" t="str">
        <f t="shared" si="3"/>
        <v/>
      </c>
      <c r="K6" s="8"/>
      <c r="L6">
        <v>0</v>
      </c>
      <c r="M6">
        <v>0</v>
      </c>
      <c r="N6">
        <v>0</v>
      </c>
      <c r="O6">
        <v>0</v>
      </c>
      <c r="P6" s="80" t="str">
        <f t="shared" si="0"/>
        <v/>
      </c>
    </row>
    <row r="7" spans="1:16" x14ac:dyDescent="0.3">
      <c r="A7" s="62">
        <v>46286</v>
      </c>
      <c r="B7" s="7" t="s">
        <v>81</v>
      </c>
      <c r="C7" s="2">
        <f>SUMIF('Лиды компании'!$A$2:$A$10000,A7,'Лиды компании'!$B$2:$B$10000)</f>
        <v>36</v>
      </c>
      <c r="D7" s="1">
        <v>36</v>
      </c>
      <c r="E7" s="1">
        <v>10</v>
      </c>
      <c r="F7" s="1">
        <v>1</v>
      </c>
      <c r="G7" s="8">
        <v>1</v>
      </c>
      <c r="H7" s="9">
        <f t="shared" si="1"/>
        <v>0.27777777777777779</v>
      </c>
      <c r="I7" s="9">
        <f t="shared" si="2"/>
        <v>0.1</v>
      </c>
      <c r="J7" s="10">
        <f t="shared" si="3"/>
        <v>2.7777777777777777</v>
      </c>
      <c r="K7" s="8"/>
      <c r="L7">
        <v>8</v>
      </c>
      <c r="M7">
        <v>10</v>
      </c>
      <c r="N7">
        <v>38</v>
      </c>
      <c r="O7">
        <v>60</v>
      </c>
      <c r="P7" s="80">
        <f t="shared" si="0"/>
        <v>0.35</v>
      </c>
    </row>
    <row r="8" spans="1:16" x14ac:dyDescent="0.3">
      <c r="A8" s="62">
        <v>46287</v>
      </c>
      <c r="B8" s="7" t="s">
        <v>81</v>
      </c>
      <c r="C8" s="2">
        <f>SUMIF('Лиды компании'!$A$2:$A$10000,A8,'Лиды компании'!$B$2:$B$10000)</f>
        <v>32</v>
      </c>
      <c r="D8" s="1">
        <v>15</v>
      </c>
      <c r="E8" s="1">
        <v>10</v>
      </c>
      <c r="F8" s="1">
        <v>1</v>
      </c>
      <c r="G8" s="8">
        <v>1</v>
      </c>
      <c r="H8" s="9">
        <f t="shared" si="1"/>
        <v>0.66666666666666663</v>
      </c>
      <c r="I8" s="9">
        <f t="shared" si="2"/>
        <v>0.1</v>
      </c>
      <c r="J8" s="10">
        <f t="shared" si="3"/>
        <v>6.666666666666667</v>
      </c>
      <c r="K8" s="8"/>
      <c r="L8">
        <v>8</v>
      </c>
      <c r="M8">
        <v>10</v>
      </c>
      <c r="N8">
        <v>46</v>
      </c>
      <c r="O8">
        <v>60</v>
      </c>
      <c r="P8" s="80">
        <f t="shared" si="0"/>
        <v>0.36666666666666664</v>
      </c>
    </row>
    <row r="9" spans="1:16" x14ac:dyDescent="0.3">
      <c r="A9" s="62">
        <v>46288</v>
      </c>
      <c r="B9" s="7" t="s">
        <v>81</v>
      </c>
      <c r="C9" s="2">
        <f>SUMIF('Лиды компании'!$A$2:$A$10000,A9,'Лиды компании'!$B$2:$B$10000)</f>
        <v>42</v>
      </c>
      <c r="D9" s="1">
        <v>32</v>
      </c>
      <c r="E9" s="1">
        <v>12</v>
      </c>
      <c r="F9" s="1">
        <v>1</v>
      </c>
      <c r="G9" s="8">
        <v>0</v>
      </c>
      <c r="H9" s="9">
        <f t="shared" si="1"/>
        <v>0.375</v>
      </c>
      <c r="I9" s="9">
        <f t="shared" si="2"/>
        <v>8.3333333333333329E-2</v>
      </c>
      <c r="J9" s="10">
        <f t="shared" si="3"/>
        <v>3.125</v>
      </c>
      <c r="K9" s="8"/>
      <c r="L9">
        <v>8</v>
      </c>
      <c r="M9">
        <v>4</v>
      </c>
      <c r="N9">
        <v>46</v>
      </c>
      <c r="O9">
        <v>60</v>
      </c>
      <c r="P9" s="80">
        <f t="shared" si="0"/>
        <v>0.22916666666666666</v>
      </c>
    </row>
    <row r="10" spans="1:16" x14ac:dyDescent="0.3">
      <c r="A10" s="62">
        <v>46283</v>
      </c>
      <c r="B10" s="7" t="s">
        <v>82</v>
      </c>
      <c r="C10" s="2">
        <f>SUMIF('Лиды компании'!$A$2:$A$10000,A10,'Лиды компании'!$B$2:$B$10000)</f>
        <v>33</v>
      </c>
      <c r="D10" s="1"/>
      <c r="E10" s="1"/>
      <c r="F10" s="1"/>
      <c r="G10" s="8"/>
      <c r="H10" s="9" t="str">
        <f t="shared" si="1"/>
        <v/>
      </c>
      <c r="I10" s="9" t="str">
        <f t="shared" si="2"/>
        <v/>
      </c>
      <c r="J10" s="10" t="str">
        <f t="shared" si="3"/>
        <v/>
      </c>
      <c r="K10" s="8" t="s">
        <v>6</v>
      </c>
      <c r="L10">
        <v>0</v>
      </c>
      <c r="M10">
        <v>0</v>
      </c>
      <c r="N10">
        <v>0</v>
      </c>
      <c r="O10">
        <v>0</v>
      </c>
      <c r="P10" s="80" t="str">
        <f t="shared" si="0"/>
        <v/>
      </c>
    </row>
    <row r="11" spans="1:16" x14ac:dyDescent="0.3">
      <c r="A11" s="62">
        <v>46286</v>
      </c>
      <c r="B11" s="7" t="s">
        <v>82</v>
      </c>
      <c r="C11" s="2">
        <f>SUMIF('Лиды компании'!$A$2:$A$10000,A11,'Лиды компании'!$B$2:$B$10000)</f>
        <v>36</v>
      </c>
      <c r="D11" s="1"/>
      <c r="E11" s="1"/>
      <c r="F11" s="1"/>
      <c r="G11" s="8"/>
      <c r="H11" s="9" t="str">
        <f t="shared" si="1"/>
        <v/>
      </c>
      <c r="I11" s="9" t="str">
        <f t="shared" si="2"/>
        <v/>
      </c>
      <c r="J11" s="10" t="str">
        <f t="shared" si="3"/>
        <v/>
      </c>
      <c r="K11" s="8" t="s">
        <v>6</v>
      </c>
      <c r="L11">
        <v>0</v>
      </c>
      <c r="M11">
        <v>0</v>
      </c>
      <c r="N11">
        <v>0</v>
      </c>
      <c r="O11">
        <v>0</v>
      </c>
      <c r="P11" s="80" t="str">
        <f t="shared" si="0"/>
        <v/>
      </c>
    </row>
    <row r="12" spans="1:16" x14ac:dyDescent="0.3">
      <c r="A12" s="62">
        <v>46287</v>
      </c>
      <c r="B12" s="7" t="s">
        <v>82</v>
      </c>
      <c r="C12" s="2">
        <f>SUMIF('Лиды компании'!$A$2:$A$10000,A12,'Лиды компании'!$B$2:$B$10000)</f>
        <v>32</v>
      </c>
      <c r="D12" s="1"/>
      <c r="E12" s="1"/>
      <c r="F12" s="1"/>
      <c r="G12" s="8"/>
      <c r="H12" s="9" t="str">
        <f t="shared" si="1"/>
        <v/>
      </c>
      <c r="I12" s="9" t="str">
        <f t="shared" si="2"/>
        <v/>
      </c>
      <c r="J12" s="10" t="str">
        <f t="shared" si="3"/>
        <v/>
      </c>
      <c r="K12" s="8" t="s">
        <v>6</v>
      </c>
      <c r="L12">
        <v>0</v>
      </c>
      <c r="M12">
        <v>0</v>
      </c>
      <c r="N12">
        <v>0</v>
      </c>
      <c r="O12">
        <v>0</v>
      </c>
      <c r="P12" s="80" t="str">
        <f t="shared" si="0"/>
        <v/>
      </c>
    </row>
    <row r="13" spans="1:16" x14ac:dyDescent="0.3">
      <c r="A13" s="66">
        <v>46288</v>
      </c>
      <c r="B13" s="7" t="s">
        <v>82</v>
      </c>
      <c r="C13" s="2">
        <f>SUMIF('Лиды компании'!$A$2:$A$10000,A13,'Лиды компании'!$B$2:$B$10000)</f>
        <v>42</v>
      </c>
      <c r="D13" s="68">
        <v>31</v>
      </c>
      <c r="E13" s="68">
        <v>8</v>
      </c>
      <c r="F13" s="68">
        <v>2</v>
      </c>
      <c r="G13" s="69">
        <v>1</v>
      </c>
      <c r="H13" s="70">
        <f t="shared" si="1"/>
        <v>0.25806451612903225</v>
      </c>
      <c r="I13" s="70">
        <f t="shared" si="2"/>
        <v>0.25</v>
      </c>
      <c r="J13" s="71">
        <f t="shared" si="3"/>
        <v>6.4516129032258061</v>
      </c>
      <c r="K13" s="69" t="s">
        <v>53</v>
      </c>
      <c r="L13">
        <v>8</v>
      </c>
      <c r="M13">
        <v>0</v>
      </c>
      <c r="N13">
        <v>20</v>
      </c>
      <c r="O13">
        <v>60</v>
      </c>
      <c r="P13" s="80">
        <f t="shared" si="0"/>
        <v>0.29166666666666669</v>
      </c>
    </row>
    <row r="14" spans="1:16" x14ac:dyDescent="0.3">
      <c r="A14" s="66">
        <v>46289</v>
      </c>
      <c r="B14" s="67" t="s">
        <v>80</v>
      </c>
      <c r="C14" s="2">
        <f>SUMIF('Лиды компании'!$A$2:$A$10000,A14,'Лиды компании'!$B$2:$B$10000)</f>
        <v>33</v>
      </c>
      <c r="D14" s="68">
        <v>46</v>
      </c>
      <c r="E14" s="68">
        <v>10</v>
      </c>
      <c r="F14" s="68">
        <v>1</v>
      </c>
      <c r="G14" s="69">
        <v>1</v>
      </c>
      <c r="H14" s="70">
        <f t="shared" ref="H14:I16" si="4">IF(OR(D14="",D14=0),"",E14/D14)</f>
        <v>0.21739130434782608</v>
      </c>
      <c r="I14" s="70">
        <f t="shared" si="4"/>
        <v>0.1</v>
      </c>
      <c r="J14" s="71">
        <f t="shared" ref="J14:J19" si="5">IF(OR(D14="",D14=0),"",F14/D14*100)</f>
        <v>2.1739130434782608</v>
      </c>
      <c r="K14" s="69"/>
      <c r="L14">
        <v>8</v>
      </c>
      <c r="M14">
        <v>0</v>
      </c>
      <c r="N14">
        <v>23</v>
      </c>
      <c r="O14">
        <v>40</v>
      </c>
      <c r="P14" s="80">
        <f t="shared" si="0"/>
        <v>0.25624999999999998</v>
      </c>
    </row>
    <row r="15" spans="1:16" x14ac:dyDescent="0.3">
      <c r="A15" s="66">
        <v>46289</v>
      </c>
      <c r="B15" s="67" t="s">
        <v>81</v>
      </c>
      <c r="C15" s="2">
        <f>SUMIF('Лиды компании'!$A$2:$A$10000,A15,'Лиды компании'!$B$2:$B$10000)</f>
        <v>33</v>
      </c>
      <c r="D15" s="68">
        <v>8</v>
      </c>
      <c r="E15" s="68">
        <v>6</v>
      </c>
      <c r="F15" s="68">
        <v>1</v>
      </c>
      <c r="G15" s="69">
        <v>0</v>
      </c>
      <c r="H15" s="70">
        <f t="shared" si="4"/>
        <v>0.75</v>
      </c>
      <c r="I15" s="70">
        <f t="shared" si="4"/>
        <v>0.16666666666666666</v>
      </c>
      <c r="J15" s="71">
        <f t="shared" si="5"/>
        <v>12.5</v>
      </c>
      <c r="K15" s="69"/>
      <c r="L15">
        <v>8</v>
      </c>
      <c r="M15">
        <v>9</v>
      </c>
      <c r="N15">
        <v>37</v>
      </c>
      <c r="O15">
        <v>40</v>
      </c>
      <c r="P15" s="80">
        <f t="shared" si="0"/>
        <v>0.17916666666666667</v>
      </c>
    </row>
    <row r="16" spans="1:16" ht="16.2" customHeight="1" x14ac:dyDescent="0.3">
      <c r="A16" s="66">
        <v>46289</v>
      </c>
      <c r="B16" s="67" t="s">
        <v>82</v>
      </c>
      <c r="C16" s="2">
        <f>SUMIF('Лиды компании'!$A$2:$A$10000,A16,'Лиды компании'!$B$2:$B$10000)</f>
        <v>33</v>
      </c>
      <c r="D16" s="68">
        <v>45</v>
      </c>
      <c r="E16" s="68">
        <v>8</v>
      </c>
      <c r="F16" s="68">
        <v>1</v>
      </c>
      <c r="G16" s="69">
        <v>0</v>
      </c>
      <c r="H16" s="70">
        <f t="shared" si="4"/>
        <v>0.17777777777777778</v>
      </c>
      <c r="I16" s="70">
        <f t="shared" si="4"/>
        <v>0.125</v>
      </c>
      <c r="J16" s="71">
        <f t="shared" si="5"/>
        <v>2.2222222222222223</v>
      </c>
      <c r="K16" s="69"/>
      <c r="L16">
        <v>8</v>
      </c>
      <c r="M16">
        <v>0</v>
      </c>
      <c r="N16">
        <v>19</v>
      </c>
      <c r="O16">
        <v>40</v>
      </c>
      <c r="P16" s="80">
        <f t="shared" si="0"/>
        <v>0.12291666666666666</v>
      </c>
    </row>
    <row r="17" spans="1:23" x14ac:dyDescent="0.3">
      <c r="A17" s="66">
        <v>46290</v>
      </c>
      <c r="B17" s="67" t="s">
        <v>80</v>
      </c>
      <c r="C17" s="94">
        <f>SUMIF('Лиды компании'!$A$2:$A$10000,A17,'Лиды компании'!$B$2:$B$10000)</f>
        <v>15</v>
      </c>
      <c r="D17" s="68">
        <v>10</v>
      </c>
      <c r="E17" s="68">
        <v>5</v>
      </c>
      <c r="F17" s="68">
        <v>2</v>
      </c>
      <c r="G17" s="69">
        <v>1</v>
      </c>
      <c r="H17" s="70">
        <f t="shared" ref="H17:I19" si="6">IF(OR(D17="",D17=0),"",E17/D17)</f>
        <v>0.5</v>
      </c>
      <c r="I17" s="70">
        <f t="shared" si="6"/>
        <v>0.4</v>
      </c>
      <c r="J17" s="71">
        <f t="shared" si="5"/>
        <v>20</v>
      </c>
      <c r="K17" s="69"/>
      <c r="L17">
        <v>8</v>
      </c>
      <c r="M17">
        <v>10</v>
      </c>
      <c r="N17">
        <v>20</v>
      </c>
      <c r="O17">
        <v>30</v>
      </c>
      <c r="P17" s="95">
        <f>IF(L17=0,"",(M17+N17+O17+G17*60)/(L17*60))</f>
        <v>0.25</v>
      </c>
    </row>
    <row r="18" spans="1:23" x14ac:dyDescent="0.3">
      <c r="A18" s="66">
        <v>46290</v>
      </c>
      <c r="B18" s="67" t="s">
        <v>81</v>
      </c>
      <c r="C18" s="94">
        <f>SUMIF('Лиды компании'!$A$2:$A$10000,A18,'Лиды компании'!$B$2:$B$10000)</f>
        <v>15</v>
      </c>
      <c r="D18" s="68">
        <v>20</v>
      </c>
      <c r="E18" s="68">
        <v>15</v>
      </c>
      <c r="F18" s="68">
        <v>3</v>
      </c>
      <c r="G18" s="69">
        <v>1</v>
      </c>
      <c r="H18" s="70">
        <f t="shared" si="6"/>
        <v>0.75</v>
      </c>
      <c r="I18" s="70">
        <f t="shared" si="6"/>
        <v>0.2</v>
      </c>
      <c r="J18" s="71">
        <f t="shared" si="5"/>
        <v>15</v>
      </c>
      <c r="K18" s="69"/>
      <c r="L18">
        <v>8</v>
      </c>
      <c r="M18">
        <v>15</v>
      </c>
      <c r="N18">
        <v>50</v>
      </c>
      <c r="O18">
        <v>30</v>
      </c>
      <c r="P18" s="95">
        <f>IF(L18=0,"",(M18+N18+O18+G18*60)/(L18*60))</f>
        <v>0.32291666666666669</v>
      </c>
    </row>
    <row r="19" spans="1:23" x14ac:dyDescent="0.3">
      <c r="A19" s="66">
        <v>46290</v>
      </c>
      <c r="B19" s="67" t="s">
        <v>82</v>
      </c>
      <c r="C19" s="94">
        <f>SUMIF('Лиды компании'!$A$2:$A$10000,A19,'Лиды компании'!$B$2:$B$10000)</f>
        <v>15</v>
      </c>
      <c r="D19" s="68">
        <v>30</v>
      </c>
      <c r="E19" s="68">
        <v>25</v>
      </c>
      <c r="F19" s="68">
        <v>2</v>
      </c>
      <c r="G19" s="69">
        <v>1</v>
      </c>
      <c r="H19" s="70">
        <f t="shared" si="6"/>
        <v>0.83333333333333337</v>
      </c>
      <c r="I19" s="70">
        <f t="shared" si="6"/>
        <v>0.08</v>
      </c>
      <c r="J19" s="71">
        <f t="shared" si="5"/>
        <v>6.666666666666667</v>
      </c>
      <c r="K19" s="69"/>
      <c r="L19">
        <v>8</v>
      </c>
      <c r="M19">
        <v>25</v>
      </c>
      <c r="N19">
        <v>60</v>
      </c>
      <c r="O19">
        <v>30</v>
      </c>
      <c r="P19" s="95">
        <f>IF(L19=0,"",(M19+N19+O19+G19*60)/(L19*60))</f>
        <v>0.36458333333333331</v>
      </c>
    </row>
    <row r="21" spans="1:23" ht="15" thickBot="1" x14ac:dyDescent="0.35"/>
    <row r="22" spans="1:23" ht="43.2" x14ac:dyDescent="0.3">
      <c r="U22" s="77" t="s">
        <v>12</v>
      </c>
      <c r="V22" s="78" t="s">
        <v>15</v>
      </c>
      <c r="W22" s="79" t="s">
        <v>16</v>
      </c>
    </row>
    <row r="23" spans="1:23" x14ac:dyDescent="0.3">
      <c r="U23" s="28">
        <f>A2</f>
        <v>46283</v>
      </c>
      <c r="V23" s="1">
        <f>SUMIF($A$2:$A$19,$A2,$E$2:$E$19)</f>
        <v>3</v>
      </c>
      <c r="W23" s="4">
        <f>SUMIF($A$2:$A$19,$U23,$F$2:$F$19)</f>
        <v>1</v>
      </c>
    </row>
    <row r="24" spans="1:23" x14ac:dyDescent="0.3">
      <c r="U24" s="28">
        <f>A3</f>
        <v>46286</v>
      </c>
      <c r="V24" s="1">
        <f>SUMIF($A$2:$A$19,$A3,$E$2:$E$19)</f>
        <v>21</v>
      </c>
      <c r="W24" s="4">
        <f>SUMIF($A$2:$A$19,$U24,$F$2:$F$19)</f>
        <v>4</v>
      </c>
    </row>
    <row r="25" spans="1:23" x14ac:dyDescent="0.3">
      <c r="U25" s="28">
        <f>A4</f>
        <v>46287</v>
      </c>
      <c r="V25" s="1">
        <f>SUMIF($A$2:$A$19,$A4,$E$2:$E$19)</f>
        <v>17</v>
      </c>
      <c r="W25" s="4">
        <f>SUMIF($A$2:$A$19,$U25,$F$2:$F$19)</f>
        <v>2</v>
      </c>
    </row>
    <row r="26" spans="1:23" ht="15" thickBot="1" x14ac:dyDescent="0.35">
      <c r="U26" s="29">
        <f>A5</f>
        <v>46288</v>
      </c>
      <c r="V26" s="5">
        <f>SUMIF($A$2:$A$19,$A5,$E$2:$E$19)</f>
        <v>27</v>
      </c>
      <c r="W26" s="6">
        <f>SUMIF($A$2:$A$19,$U26,$F$2:$F$19)</f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D6FA-A4AE-48E4-8279-5DB53FE452F4}">
  <dimension ref="A1:O997"/>
  <sheetViews>
    <sheetView zoomScale="59" zoomScaleNormal="59" workbookViewId="0">
      <selection activeCell="R30" sqref="R30"/>
    </sheetView>
  </sheetViews>
  <sheetFormatPr defaultRowHeight="14.4" x14ac:dyDescent="0.3"/>
  <cols>
    <col min="1" max="1" width="15.21875" customWidth="1"/>
    <col min="2" max="2" width="12.44140625" customWidth="1"/>
    <col min="4" max="4" width="10.33203125" customWidth="1"/>
    <col min="5" max="5" width="11.88671875" customWidth="1"/>
    <col min="6" max="6" width="10" customWidth="1"/>
    <col min="8" max="8" width="11.6640625" customWidth="1"/>
    <col min="9" max="9" width="12.6640625" customWidth="1"/>
    <col min="10" max="10" width="11.88671875" customWidth="1"/>
    <col min="11" max="11" width="13" customWidth="1"/>
    <col min="12" max="12" width="13.21875" customWidth="1"/>
    <col min="13" max="13" width="14.88671875" customWidth="1"/>
    <col min="14" max="14" width="14.109375" customWidth="1"/>
  </cols>
  <sheetData>
    <row r="1" spans="1:15" x14ac:dyDescent="0.3">
      <c r="A1" t="str">
        <f>"Загруженность менеджеров за "&amp;TEXT(E9,"ДД.ММ.ГГГГ")&amp;" — "&amp;TEXT(E10,"ДД.ММ.ГГГГ")</f>
        <v>Загруженность менеджеров за 25.09.2026 — 25.09.2026</v>
      </c>
    </row>
    <row r="2" spans="1:15" ht="28.8" x14ac:dyDescent="0.3">
      <c r="A2" t="s">
        <v>1</v>
      </c>
      <c r="B2" t="s">
        <v>25</v>
      </c>
      <c r="C2" t="s">
        <v>26</v>
      </c>
      <c r="D2" t="s">
        <v>17</v>
      </c>
      <c r="E2" t="s">
        <v>27</v>
      </c>
      <c r="F2" t="s">
        <v>28</v>
      </c>
      <c r="G2" t="s">
        <v>31</v>
      </c>
      <c r="H2" t="s">
        <v>29</v>
      </c>
      <c r="I2" s="20" t="s">
        <v>32</v>
      </c>
    </row>
    <row r="3" spans="1:15" x14ac:dyDescent="0.3">
      <c r="A3" t="s">
        <v>80</v>
      </c>
      <c r="B3">
        <f>SUMIFS(Исходники!$M$2:$M$10000,Исходники!$B$2:$B$10000,$A3,Исходники!$A$2:$A$10000,"&gt;="&amp;$E$9,Исходники!$A$2:$A$10000,"&lt;"&amp;($E$10+1))</f>
        <v>10</v>
      </c>
      <c r="C3">
        <f>SUMIFS(Исходники!$N$2:$N$10000,Исходники!$B$2:$B$10000,$A3,Исходники!$A$2:$A$10000,"&gt;="&amp;$E$9,Исходники!$A$2:$A$10000,"&lt;"&amp;($E$10+1))</f>
        <v>20</v>
      </c>
      <c r="D3">
        <f>SUMIFS(Исходники!$G$2:$G$10000,Исходники!$B$2:$B$10000,$A3,Исходники!$A$2:$A$10000,"&gt;="&amp;$E$9,Исходники!$A$2:$A$10000,"&lt;"&amp;($E$10+1))</f>
        <v>1</v>
      </c>
      <c r="E3">
        <f>D3*60</f>
        <v>60</v>
      </c>
      <c r="F3">
        <f>SUMIFS(Исходники!$O$2:$O$10000,Исходники!$B$2:$B$10000,$A3,Исходники!$A$2:$A$10000,"&gt;="&amp;$E$9,Исходники!$A$2:$A$10000,"&lt;"&amp;($E$10+1))</f>
        <v>30</v>
      </c>
      <c r="G3">
        <f>SUM(B3:C3,E3:F3)</f>
        <v>120</v>
      </c>
      <c r="H3">
        <f>SUMIFS(Исходники!$L$2:$L$10000,Исходники!$B$2:$B$10000,$A3,Исходники!$A$2:$A$10000,"&gt;="&amp;$E$9,Исходники!$A$2:$A$10000,"&lt;"&amp;($E$10+1))</f>
        <v>8</v>
      </c>
      <c r="I3" s="76">
        <f>IF(H3=0,"",G3/(H3*60))</f>
        <v>0.25</v>
      </c>
    </row>
    <row r="4" spans="1:15" x14ac:dyDescent="0.3">
      <c r="A4" t="s">
        <v>81</v>
      </c>
      <c r="B4">
        <f>SUMIFS(Исходники!$M$2:$M$10000,Исходники!$B$2:$B$10000,$A4,Исходники!$A$2:$A$10000,"&gt;="&amp;$E$9,Исходники!$A$2:$A$10000,"&lt;"&amp;($E$10+1))</f>
        <v>15</v>
      </c>
      <c r="C4">
        <f>SUMIFS(Исходники!$N$2:$N$10000,Исходники!$B$2:$B$10000,$A4,Исходники!$A$2:$A$10000,"&gt;="&amp;$E$9,Исходники!$A$2:$A$10000,"&lt;"&amp;($E$10+1))</f>
        <v>50</v>
      </c>
      <c r="D4">
        <f>SUMIFS(Исходники!$G$2:$G$10000,Исходники!$B$2:$B$10000,$A4,Исходники!$A$2:$A$10000,"&gt;="&amp;$E$9,Исходники!$A$2:$A$10000,"&lt;"&amp;($E$10+1))</f>
        <v>1</v>
      </c>
      <c r="E4">
        <f t="shared" ref="E4:E5" si="0">D4*60</f>
        <v>60</v>
      </c>
      <c r="F4">
        <f>SUMIFS(Исходники!$O$2:$O$10000,Исходники!$B$2:$B$10000,$A4,Исходники!$A$2:$A$10000,"&gt;="&amp;$E$9,Исходники!$A$2:$A$10000,"&lt;"&amp;($E$10+1))</f>
        <v>30</v>
      </c>
      <c r="G4">
        <f t="shared" ref="G4:G5" si="1">SUM(B4:C4,E4:F4)</f>
        <v>155</v>
      </c>
      <c r="H4">
        <f>SUMIFS(Исходники!$L$2:$L$10000,Исходники!$B$2:$B$10000,$A4,Исходники!$A$2:$A$10000,"&gt;="&amp;$E$9,Исходники!$A$2:$A$10000,"&lt;"&amp;($E$10+1))</f>
        <v>8</v>
      </c>
      <c r="I4" s="76">
        <f t="shared" ref="I4:I5" si="2">IF(H4=0,"",G4/(H4*60))</f>
        <v>0.32291666666666669</v>
      </c>
    </row>
    <row r="5" spans="1:15" x14ac:dyDescent="0.3">
      <c r="A5" t="s">
        <v>82</v>
      </c>
      <c r="B5">
        <f>SUMIFS(Исходники!$M$2:$M$10000,Исходники!$B$2:$B$10000,$A5,Исходники!$A$2:$A$10000,"&gt;="&amp;$E$9,Исходники!$A$2:$A$10000,"&lt;"&amp;($E$10+1))</f>
        <v>25</v>
      </c>
      <c r="C5">
        <f>SUMIFS(Исходники!$N$2:$N$10000,Исходники!$B$2:$B$10000,$A5,Исходники!$A$2:$A$10000,"&gt;="&amp;$E$9,Исходники!$A$2:$A$10000,"&lt;"&amp;($E$10+1))</f>
        <v>60</v>
      </c>
      <c r="D5">
        <f>SUMIFS(Исходники!$G$2:$G$10000,Исходники!$B$2:$B$10000,$A5,Исходники!$A$2:$A$10000,"&gt;="&amp;$E$9,Исходники!$A$2:$A$10000,"&lt;"&amp;($E$10+1))</f>
        <v>1</v>
      </c>
      <c r="E5">
        <f t="shared" si="0"/>
        <v>60</v>
      </c>
      <c r="F5">
        <f>SUMIFS(Исходники!$O$2:$O$10000,Исходники!$B$2:$B$10000,$A5,Исходники!$A$2:$A$10000,"&gt;="&amp;$E$9,Исходники!$A$2:$A$10000,"&lt;"&amp;($E$10+1))</f>
        <v>30</v>
      </c>
      <c r="G5">
        <f t="shared" si="1"/>
        <v>175</v>
      </c>
      <c r="H5">
        <f>SUMIFS(Исходники!$L$2:$L$10000,Исходники!$B$2:$B$10000,$A5,Исходники!$A$2:$A$10000,"&gt;="&amp;$E$9,Исходники!$A$2:$A$10000,"&lt;"&amp;($E$10+1))</f>
        <v>8</v>
      </c>
      <c r="I5" s="76">
        <f t="shared" si="2"/>
        <v>0.36458333333333331</v>
      </c>
    </row>
    <row r="7" spans="1:15" x14ac:dyDescent="0.3">
      <c r="A7" t="s">
        <v>68</v>
      </c>
    </row>
    <row r="8" spans="1:15" ht="15" thickBot="1" x14ac:dyDescent="0.35"/>
    <row r="9" spans="1:15" ht="43.8" thickBot="1" x14ac:dyDescent="0.35">
      <c r="A9" s="30" t="s">
        <v>2</v>
      </c>
      <c r="B9" s="30" t="s">
        <v>37</v>
      </c>
      <c r="D9" s="74" t="s">
        <v>51</v>
      </c>
      <c r="E9" s="86">
        <v>46290</v>
      </c>
    </row>
    <row r="10" spans="1:15" ht="29.4" thickBot="1" x14ac:dyDescent="0.35">
      <c r="A10" s="88" t="s">
        <v>22</v>
      </c>
      <c r="B10" s="89">
        <v>60</v>
      </c>
      <c r="D10" s="75" t="s">
        <v>52</v>
      </c>
      <c r="E10" s="87">
        <v>46290</v>
      </c>
    </row>
    <row r="11" spans="1:15" ht="28.8" x14ac:dyDescent="0.3">
      <c r="A11" s="90" t="s">
        <v>67</v>
      </c>
      <c r="B11" s="91">
        <v>30</v>
      </c>
    </row>
    <row r="12" spans="1:15" ht="28.8" x14ac:dyDescent="0.3">
      <c r="A12" s="90" t="s">
        <v>24</v>
      </c>
      <c r="B12" s="91">
        <v>3</v>
      </c>
    </row>
    <row r="13" spans="1:15" ht="29.4" thickBot="1" x14ac:dyDescent="0.35">
      <c r="A13" s="92" t="s">
        <v>36</v>
      </c>
      <c r="B13" s="93">
        <v>1</v>
      </c>
    </row>
    <row r="14" spans="1:15" ht="15" thickBot="1" x14ac:dyDescent="0.35"/>
    <row r="15" spans="1:15" ht="57.6" x14ac:dyDescent="0.3">
      <c r="A15" s="26" t="s">
        <v>41</v>
      </c>
      <c r="B15" s="27" t="s">
        <v>42</v>
      </c>
      <c r="C15" s="36" t="s">
        <v>38</v>
      </c>
      <c r="D15" s="27" t="s">
        <v>70</v>
      </c>
      <c r="E15" s="37" t="s">
        <v>39</v>
      </c>
      <c r="F15" s="40" t="s">
        <v>40</v>
      </c>
      <c r="G15" s="36" t="s">
        <v>43</v>
      </c>
      <c r="H15" s="27" t="s">
        <v>74</v>
      </c>
      <c r="I15" s="37" t="s">
        <v>44</v>
      </c>
      <c r="J15" s="40" t="s">
        <v>45</v>
      </c>
      <c r="K15" s="44" t="s">
        <v>46</v>
      </c>
      <c r="L15" s="44" t="s">
        <v>47</v>
      </c>
      <c r="M15" s="44" t="s">
        <v>48</v>
      </c>
      <c r="N15" s="45" t="s">
        <v>49</v>
      </c>
      <c r="O15" s="30"/>
    </row>
    <row r="16" spans="1:15" x14ac:dyDescent="0.3">
      <c r="A16" s="14" t="str">
        <f>Исходники!B2</f>
        <v>Менеджер 1</v>
      </c>
      <c r="B16" s="1">
        <f>SUMIFS(Исходники!$L$2:$L$10000,Исходники!$B$2:$B$10000,$A16,Исходники!$A$2:$A$10000,"&gt;="&amp;$E$9,Исходники!$A$2:$A$10000,"&lt;"&amp;($E$10+1))/8</f>
        <v>1</v>
      </c>
      <c r="C16" s="34">
        <f>$B$10*B16</f>
        <v>60</v>
      </c>
      <c r="D16" s="1">
        <f>$B$11*B16</f>
        <v>30</v>
      </c>
      <c r="E16" s="35">
        <f>$B$12*B16</f>
        <v>3</v>
      </c>
      <c r="F16" s="41">
        <f>$B$13*B16</f>
        <v>1</v>
      </c>
      <c r="G16" s="34">
        <f>SUMIFS(Исходники!$D$2:$D$10000,Исходники!$B$2:$B$10000,$A16,Исходники!$A$2:$A$10000,"&gt;="&amp;$E$9,Исходники!$A$2:$A$10000,"&lt;"&amp;($E$10+1))</f>
        <v>10</v>
      </c>
      <c r="H16" s="1">
        <f>SUMIFS(Исходники!$E$2:$E$10000,Исходники!$B$2:$B$10000,$A16,Исходники!$A$2:$A$10000,"&gt;="&amp;$E$9,Исходники!$A$2:$A$10000,"&lt;"&amp;($E$10+1))</f>
        <v>5</v>
      </c>
      <c r="I16" s="35">
        <f>SUMIFS(Исходники!$F$2:$F$10000,Исходники!$B$2:$B$10000,$A16,Исходники!$A$2:$A$10000,"&gt;="&amp;$E$9,Исходники!$A$2:$A$10000,"&lt;"&amp;($E$10+1))</f>
        <v>2</v>
      </c>
      <c r="J16" s="41">
        <f>SUMIFS(Исходники!$G$2:$G$10000,Исходники!$B$2:$B$10000,$A16,Исходники!$A$2:$A$10000,"&gt;="&amp;$E$9,Исходники!$A$2:$A$10000,"&lt;"&amp;($E$10+1))</f>
        <v>1</v>
      </c>
      <c r="K16" s="46">
        <f>IF(C16=0,"",G16/C16)</f>
        <v>0.16666666666666666</v>
      </c>
      <c r="L16" s="47">
        <f>IF(D16=0,"",H16/D16)</f>
        <v>0.16666666666666666</v>
      </c>
      <c r="M16" s="46">
        <f>IF(E16=0,"",I16/E16)</f>
        <v>0.66666666666666663</v>
      </c>
      <c r="N16" s="48">
        <f>IF(F16=0,"",J16/F16)</f>
        <v>1</v>
      </c>
    </row>
    <row r="17" spans="1:14" x14ac:dyDescent="0.3">
      <c r="A17" s="14" t="s">
        <v>81</v>
      </c>
      <c r="B17" s="1">
        <f>SUMIFS(Исходники!$L$2:$L$10000,Исходники!$B$2:$B$10000,$A17,Исходники!$A$2:$A$10000,"&gt;="&amp;$E$9,Исходники!$A$2:$A$10000,"&lt;"&amp;($E$10+1))/8</f>
        <v>1</v>
      </c>
      <c r="C17" s="34">
        <f t="shared" ref="C17:C18" si="3">$B$10*B17</f>
        <v>60</v>
      </c>
      <c r="D17" s="1">
        <f t="shared" ref="D17:D18" si="4">$B$11*B17</f>
        <v>30</v>
      </c>
      <c r="E17" s="35">
        <f t="shared" ref="E17:E18" si="5">$B$12*B17</f>
        <v>3</v>
      </c>
      <c r="F17" s="41">
        <f t="shared" ref="F17:F18" si="6">$B$13*B17</f>
        <v>1</v>
      </c>
      <c r="G17" s="34">
        <f>SUMIFS(Исходники!$D$2:$D$10000,Исходники!$B$2:$B$10000,$A17,Исходники!$A$2:$A$10000,"&gt;="&amp;$E$9,Исходники!$A$2:$A$10000,"&lt;"&amp;($E$10+1))</f>
        <v>20</v>
      </c>
      <c r="H17" s="1">
        <f>SUMIFS(Исходники!$E$2:$E$10000,Исходники!$B$2:$B$10000,$A17,Исходники!$A$2:$A$10000,"&gt;="&amp;$E$9,Исходники!$A$2:$A$10000,"&lt;"&amp;($E$10+1))</f>
        <v>15</v>
      </c>
      <c r="I17" s="35">
        <f>SUMIFS(Исходники!$F$2:$F$10000,Исходники!$B$2:$B$10000,$A17,Исходники!$A$2:$A$10000,"&gt;="&amp;$E$9,Исходники!$A$2:$A$10000,"&lt;"&amp;($E$10+1))</f>
        <v>3</v>
      </c>
      <c r="J17" s="41">
        <f>SUMIFS(Исходники!$G$2:$G$10000,Исходники!$B$2:$B$10000,$A17,Исходники!$A$2:$A$10000,"&gt;="&amp;$E$9,Исходники!$A$2:$A$10000,"&lt;"&amp;($E$10+1))</f>
        <v>1</v>
      </c>
      <c r="K17" s="46">
        <f t="shared" ref="K17:K18" si="7">IF(C17=0,"",G17/C17)</f>
        <v>0.33333333333333331</v>
      </c>
      <c r="L17" s="47">
        <f t="shared" ref="L17:L18" si="8">IF(D17=0,"",H17/D17)</f>
        <v>0.5</v>
      </c>
      <c r="M17" s="46">
        <f t="shared" ref="M17:M18" si="9">IF(E17=0,"",I17/E17)</f>
        <v>1</v>
      </c>
      <c r="N17" s="48">
        <f t="shared" ref="N17:N18" si="10">IF(F17=0,"",J17/F17)</f>
        <v>1</v>
      </c>
    </row>
    <row r="18" spans="1:14" ht="15" thickBot="1" x14ac:dyDescent="0.35">
      <c r="A18" s="11" t="str">
        <f>Исходники!B13</f>
        <v>Менеджер 3</v>
      </c>
      <c r="B18" s="1">
        <f>SUMIFS(Исходники!$L$2:$L$10000,Исходники!$B$2:$B$10000,$A18,Исходники!$A$2:$A$10000,"&gt;="&amp;$E$9,Исходники!$A$2:$A$10000,"&lt;"&amp;($E$10+1))/8</f>
        <v>1</v>
      </c>
      <c r="C18" s="38">
        <f t="shared" si="3"/>
        <v>60</v>
      </c>
      <c r="D18" s="5">
        <f t="shared" si="4"/>
        <v>30</v>
      </c>
      <c r="E18" s="39">
        <f t="shared" si="5"/>
        <v>3</v>
      </c>
      <c r="F18" s="42">
        <f t="shared" si="6"/>
        <v>1</v>
      </c>
      <c r="G18" s="34">
        <f>SUMIFS(Исходники!$D$2:$D$10000,Исходники!$B$2:$B$10000,$A18,Исходники!$A$2:$A$10000,"&gt;="&amp;$E$9,Исходники!$A$2:$A$10000,"&lt;"&amp;($E$10+1))</f>
        <v>30</v>
      </c>
      <c r="H18" s="1">
        <f>SUMIFS(Исходники!$E$2:$E$10000,Исходники!$B$2:$B$10000,$A18,Исходники!$A$2:$A$10000,"&gt;="&amp;$E$9,Исходники!$A$2:$A$10000,"&lt;"&amp;($E$10+1))</f>
        <v>25</v>
      </c>
      <c r="I18" s="35">
        <f>SUMIFS(Исходники!$F$2:$F$10000,Исходники!$B$2:$B$10000,$A18,Исходники!$A$2:$A$10000,"&gt;="&amp;$E$9,Исходники!$A$2:$A$10000,"&lt;"&amp;($E$10+1))</f>
        <v>2</v>
      </c>
      <c r="J18" s="41">
        <f>SUMIFS(Исходники!$G$2:$G$10000,Исходники!$B$2:$B$10000,$A18,Исходники!$A$2:$A$10000,"&gt;="&amp;$E$9,Исходники!$A$2:$A$10000,"&lt;"&amp;($E$10+1))</f>
        <v>1</v>
      </c>
      <c r="K18" s="49">
        <f t="shared" si="7"/>
        <v>0.5</v>
      </c>
      <c r="L18" s="50">
        <f t="shared" si="8"/>
        <v>0.83333333333333337</v>
      </c>
      <c r="M18" s="49">
        <f t="shared" si="9"/>
        <v>0.66666666666666663</v>
      </c>
      <c r="N18" s="51">
        <f t="shared" si="10"/>
        <v>1</v>
      </c>
    </row>
    <row r="19" spans="1:14" x14ac:dyDescent="0.3">
      <c r="A19" s="53" t="s">
        <v>50</v>
      </c>
      <c r="B19">
        <f>SUM(B16:B18)</f>
        <v>3</v>
      </c>
      <c r="C19" s="31">
        <f t="shared" ref="C19:J19" si="11">SUM(C16:C18)</f>
        <v>180</v>
      </c>
      <c r="D19">
        <f t="shared" si="11"/>
        <v>90</v>
      </c>
      <c r="E19" s="33">
        <f t="shared" si="11"/>
        <v>9</v>
      </c>
      <c r="F19" s="43">
        <f t="shared" si="11"/>
        <v>3</v>
      </c>
      <c r="G19" s="31">
        <f t="shared" si="11"/>
        <v>60</v>
      </c>
      <c r="H19">
        <f t="shared" si="11"/>
        <v>45</v>
      </c>
      <c r="I19" s="33">
        <f t="shared" si="11"/>
        <v>7</v>
      </c>
      <c r="J19" s="43">
        <f t="shared" si="11"/>
        <v>3</v>
      </c>
      <c r="K19" s="52">
        <f>IF(C19=0,"",G19/C19)</f>
        <v>0.33333333333333331</v>
      </c>
      <c r="L19" s="52">
        <f>IF(D19=0,"",H19/D19)</f>
        <v>0.5</v>
      </c>
      <c r="M19" s="52">
        <f>IF(E19=0,"",I19/E19)</f>
        <v>0.77777777777777779</v>
      </c>
      <c r="N19" s="52">
        <f>IF(F19=0,"",J19/F19)</f>
        <v>1</v>
      </c>
    </row>
    <row r="23" spans="1:14" x14ac:dyDescent="0.3">
      <c r="E23" s="54"/>
    </row>
    <row r="994" spans="1:8" x14ac:dyDescent="0.3">
      <c r="A994" t="s">
        <v>1</v>
      </c>
      <c r="B994" t="s">
        <v>22</v>
      </c>
      <c r="C994" t="s">
        <v>23</v>
      </c>
      <c r="D994" t="s">
        <v>24</v>
      </c>
      <c r="E994" t="s">
        <v>21</v>
      </c>
      <c r="F994" t="s">
        <v>7</v>
      </c>
      <c r="G994" t="s">
        <v>8</v>
      </c>
      <c r="H994" t="s">
        <v>9</v>
      </c>
    </row>
    <row r="995" spans="1:8" x14ac:dyDescent="0.3">
      <c r="A995" t="str">
        <f>A16</f>
        <v>Менеджер 1</v>
      </c>
      <c r="B995">
        <f>SUMIF(Исходники!$B$2:$B$1000,A995,Исходники!$D$2:$D$1000)</f>
        <v>205</v>
      </c>
      <c r="C995">
        <f>SUMIF(Исходники!$B$2:$B$1000,A995,Исходники!$E$2:$E$1000)</f>
        <v>43</v>
      </c>
      <c r="D995">
        <f>SUMIF(Исходники!$B$2:$B$1000,A995,Исходники!$F$2:$F$1000)</f>
        <v>9</v>
      </c>
      <c r="E995">
        <f>SUMIF(Исходники!$B$2:$B$1000,A995,Исходники!$G$2:$G$1000)</f>
        <v>5</v>
      </c>
      <c r="F995" s="12">
        <f>IFERROR(C995/B995,0)</f>
        <v>0.2097560975609756</v>
      </c>
      <c r="G995" s="12">
        <f xml:space="preserve"> IFERROR(D995/C995,0)</f>
        <v>0.20930232558139536</v>
      </c>
      <c r="H995" s="13">
        <f>IFERROR(D995/B995*100,0)</f>
        <v>4.3902439024390238</v>
      </c>
    </row>
    <row r="996" spans="1:8" x14ac:dyDescent="0.3">
      <c r="A996" t="str">
        <f>A17</f>
        <v>Менеджер 2</v>
      </c>
      <c r="B996">
        <f>SUMIF(Исходники!$B$2:$B$1000,A996,Исходники!$D$2:$D$1000)</f>
        <v>111</v>
      </c>
      <c r="C996">
        <f>SUMIF(Исходники!$B$2:$B$1000,A996,Исходники!$E$2:$E$1000)</f>
        <v>53</v>
      </c>
      <c r="D996">
        <f>SUMIF(Исходники!$B$2:$B$1000,A996,Исходники!$F$2:$F$1000)</f>
        <v>7</v>
      </c>
      <c r="E996">
        <f>SUMIF(Исходники!$B$2:$B$1000,A996,Исходники!$G$2:$G$1000)</f>
        <v>3</v>
      </c>
      <c r="F996" s="12">
        <f>IFERROR(C996/B996,0)</f>
        <v>0.47747747747747749</v>
      </c>
      <c r="G996" s="12">
        <f xml:space="preserve"> IFERROR(D996/C996,0)</f>
        <v>0.13207547169811321</v>
      </c>
      <c r="H996" s="13">
        <f>IFERROR(D996/B996*100,0)</f>
        <v>6.3063063063063058</v>
      </c>
    </row>
    <row r="997" spans="1:8" x14ac:dyDescent="0.3">
      <c r="A997" t="str">
        <f>A18</f>
        <v>Менеджер 3</v>
      </c>
      <c r="B997">
        <f>SUMIF(Исходники!$B$2:$B$1000,A997,Исходники!$D$2:$D$1000)</f>
        <v>106</v>
      </c>
      <c r="C997">
        <f>SUMIF(Исходники!$B$2:$B$1000,A997,Исходники!$E$2:$E$1000)</f>
        <v>41</v>
      </c>
      <c r="D997">
        <f>SUMIF(Исходники!$B$2:$B$1000,A997,Исходники!$F$2:$F$1000)</f>
        <v>5</v>
      </c>
      <c r="E997">
        <f>SUMIF(Исходники!$B$2:$B$1000,A997,Исходники!$G$2:$G$1000)</f>
        <v>2</v>
      </c>
      <c r="F997" s="12">
        <f>IFERROR(C997/B997,0)</f>
        <v>0.3867924528301887</v>
      </c>
      <c r="G997" s="12">
        <f xml:space="preserve"> IFERROR(D997/C997,0)</f>
        <v>0.12195121951219512</v>
      </c>
      <c r="H997" s="13">
        <f>IFERROR(D997/B997*100,0)</f>
        <v>4.716981132075472</v>
      </c>
    </row>
  </sheetData>
  <pageMargins left="0.7" right="0.7" top="0.75" bottom="0.75" header="0.3" footer="0.3"/>
  <ignoredErrors>
    <ignoredError sqref="G995:G997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C005-D0CB-42BD-BA34-C8F554C8876E}">
  <dimension ref="A1:F8"/>
  <sheetViews>
    <sheetView workbookViewId="0">
      <selection activeCell="K5" sqref="K5"/>
    </sheetView>
  </sheetViews>
  <sheetFormatPr defaultRowHeight="14.4" x14ac:dyDescent="0.3"/>
  <cols>
    <col min="1" max="1" width="13.21875" customWidth="1"/>
  </cols>
  <sheetData>
    <row r="1" spans="1:6" ht="43.2" x14ac:dyDescent="0.3">
      <c r="A1" s="26" t="s">
        <v>12</v>
      </c>
      <c r="B1" s="27" t="s">
        <v>13</v>
      </c>
      <c r="C1" s="27" t="s">
        <v>14</v>
      </c>
      <c r="D1" s="27" t="s">
        <v>66</v>
      </c>
      <c r="E1" s="27" t="s">
        <v>16</v>
      </c>
      <c r="F1" s="21" t="s">
        <v>17</v>
      </c>
    </row>
    <row r="2" spans="1:6" ht="43.8" thickBot="1" x14ac:dyDescent="0.35">
      <c r="A2" s="84" t="s">
        <v>79</v>
      </c>
      <c r="B2" s="18">
        <f>SUMIFS('Лиды компании'!$B$2:$B$10000,'Лиды компании'!$A$2:$A$10000,"&gt;="&amp;Сводка!$E$9,'Лиды компании'!$A$2:$A$10000,"&lt;"&amp;(Сводка!$E$10+1))</f>
        <v>15</v>
      </c>
      <c r="C2" s="18">
        <f>Сводка!G19</f>
        <v>60</v>
      </c>
      <c r="D2" s="18">
        <f>Сводка!H19</f>
        <v>45</v>
      </c>
      <c r="E2" s="18">
        <f>Сводка!I19</f>
        <v>7</v>
      </c>
      <c r="F2" s="19">
        <f>Сводка!J19</f>
        <v>3</v>
      </c>
    </row>
    <row r="3" spans="1:6" x14ac:dyDescent="0.3">
      <c r="A3" s="3" cm="1">
        <f t="array" ref="A3">_xlfn._xlws.SORT(_xlfn.UNIQUE(_xlfn._xlws.FILTER('Лиды компании'!$A$2:$A$10000,('Лиды компании'!$A$2:$A$10000&gt;=Сводка!$E$9)*('Лиды компании'!$A$2:$A$10000&lt;Сводка!$E$10+1)*('Лиды компании'!$A$2:$A$10000&lt;&gt;""),"")))</f>
        <v>46290</v>
      </c>
      <c r="B3" s="1" cm="1">
        <f t="array" ref="B3">IF(_xlfn.ANCHORARRAY(A3)="","",SUMIF('Лиды компании'!$A$2:$A$10000,_xlfn.ANCHORARRAY(A3),'Лиды компании'!$B$2:$B$10000))</f>
        <v>15</v>
      </c>
      <c r="C3" s="1" cm="1">
        <f t="array" ref="C3">IF(_xlfn.ANCHORARRAY(A3)="","",SUMIF(Исходники!$A$2:$A$10000,_xlfn.ANCHORARRAY(A3),Исходники!$D$2:$D$10000))</f>
        <v>60</v>
      </c>
      <c r="D3" s="1" cm="1">
        <f t="array" ref="D3">IF(_xlfn.ANCHORARRAY(A3)="","",SUMIF(Исходники!$A$2:$A$10000,_xlfn.ANCHORARRAY(A3),Исходники!$E$2:$E$10000))</f>
        <v>45</v>
      </c>
      <c r="E3" s="1" cm="1">
        <f t="array" ref="E3">IF(_xlfn.ANCHORARRAY(A3)="","",SUMIF(Исходники!$A$2:$A$10000,_xlfn.ANCHORARRAY(A3),Исходники!$F$2:$F$10000))</f>
        <v>7</v>
      </c>
      <c r="F3" s="4" cm="1">
        <f t="array" ref="F3">IF(_xlfn.ANCHORARRAY(A3)="","",SUMIF(Исходники!$A$2:$A$10000,_xlfn.ANCHORARRAY(A3),Исходники!$G$2:$G$10000))</f>
        <v>3</v>
      </c>
    </row>
    <row r="4" spans="1:6" x14ac:dyDescent="0.3">
      <c r="A4" s="3"/>
      <c r="B4" s="1"/>
      <c r="C4" s="1"/>
      <c r="D4" s="1"/>
      <c r="E4" s="1"/>
      <c r="F4" s="4"/>
    </row>
    <row r="5" spans="1:6" x14ac:dyDescent="0.3">
      <c r="A5" s="3"/>
      <c r="B5" s="1"/>
      <c r="C5" s="1"/>
      <c r="D5" s="1"/>
      <c r="E5" s="1"/>
      <c r="F5" s="4"/>
    </row>
    <row r="6" spans="1:6" x14ac:dyDescent="0.3">
      <c r="A6" s="3"/>
      <c r="B6" s="1"/>
      <c r="C6" s="1"/>
      <c r="D6" s="1"/>
      <c r="E6" s="1"/>
      <c r="F6" s="4"/>
    </row>
    <row r="7" spans="1:6" x14ac:dyDescent="0.3">
      <c r="A7" s="3"/>
      <c r="B7" s="1"/>
      <c r="C7" s="1"/>
      <c r="D7" s="1"/>
      <c r="E7" s="1"/>
      <c r="F7" s="4"/>
    </row>
    <row r="8" spans="1:6" x14ac:dyDescent="0.3">
      <c r="A8" s="3"/>
      <c r="B8" s="1"/>
      <c r="C8" s="1"/>
      <c r="D8" s="1"/>
      <c r="E8" s="1"/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1253-D774-4BFB-96A6-B7691E4E361E}">
  <dimension ref="A1:G2"/>
  <sheetViews>
    <sheetView workbookViewId="0">
      <selection activeCell="H6" sqref="H6"/>
    </sheetView>
  </sheetViews>
  <sheetFormatPr defaultRowHeight="14.4" x14ac:dyDescent="0.3"/>
  <cols>
    <col min="1" max="1" width="10.109375" style="54" bestFit="1" customWidth="1"/>
  </cols>
  <sheetData>
    <row r="1" spans="1:7" x14ac:dyDescent="0.3">
      <c r="A1" s="54" t="s">
        <v>12</v>
      </c>
      <c r="B1" t="s">
        <v>67</v>
      </c>
      <c r="C1" t="s">
        <v>24</v>
      </c>
      <c r="D1" t="s">
        <v>21</v>
      </c>
      <c r="E1" t="s">
        <v>58</v>
      </c>
      <c r="F1" t="s">
        <v>59</v>
      </c>
      <c r="G1" t="s">
        <v>60</v>
      </c>
    </row>
    <row r="2" spans="1:7" x14ac:dyDescent="0.3">
      <c r="A2" s="54" cm="1">
        <f t="array" ref="A2">_xlfn._xlws.SORT(_xlfn.UNIQUE(_xlfn._xlws.FILTER(Исходники!$A$2:$A$10000,(Исходники!$A$2:$A$10000&gt;=Сводка!$E$9)*(Исходники!$A$2:$A$10000&lt;Сводка!$E$10+1)*(Исходники!$A$2:$A$10000&lt;&gt;""),"")))</f>
        <v>46290</v>
      </c>
      <c r="B2" cm="1">
        <f t="array" ref="B2">SUMIFS(Исходники!$E$2:$E$10000,Исходники!$A$2:$A$10000,"&gt;="&amp;_xlfn.ANCHORARRAY(A2),Исходники!$A$2:$A$10000,"&lt;"&amp;(_xlfn.ANCHORARRAY(A2)+1))</f>
        <v>45</v>
      </c>
      <c r="C2" cm="1">
        <f t="array" ref="C2">SUMIFS(Исходники!$F$2:$F$10000,Исходники!$A$2:$A$10000,"&gt;="&amp;_xlfn.ANCHORARRAY(A2),Исходники!$A$2:$A$10000,"&lt;"&amp;(_xlfn.ANCHORARRAY(A2)+1))</f>
        <v>7</v>
      </c>
      <c r="D2" cm="1">
        <f t="array" ref="D2">SUMIFS(Исходники!$G$2:$G$10000,Исходники!$A$2:$A$10000,"&gt;="&amp;_xlfn.ANCHORARRAY(A2),Исходники!$A$2:$A$10000,"&lt;"&amp;(_xlfn.ANCHORARRAY(A2)+1))</f>
        <v>3</v>
      </c>
      <c r="E2" cm="1">
        <f t="array" ref="E2">SUMIFS(Исходники!$L$2:$L$10000,Исходники!$A$2:$A$10000,"&gt;="&amp;_xlfn.ANCHORARRAY(A2),Исходники!$A$2:$A$10000,"&lt;"&amp;(_xlfn.ANCHORARRAY(A2)+1))/8*Сводка!$B$11</f>
        <v>90</v>
      </c>
      <c r="F2" cm="1">
        <f t="array" ref="F2">SUMIFS(Исходники!$L$2:$L$10000,Исходники!$A$2:$A$10000,"&gt;="&amp;_xlfn.ANCHORARRAY(A2),Исходники!$A$2:$A$10000,"&lt;"&amp;(_xlfn.ANCHORARRAY(A2)+1))/8*Сводка!$B$12</f>
        <v>9</v>
      </c>
      <c r="G2" cm="1">
        <f t="array" ref="G2">SUMIFS(Исходники!$L$2:$L$10000,Исходники!$A$2:$A$10000,"&gt;="&amp;_xlfn.ANCHORARRAY(A2),Исходники!$A$2:$A$10000,"&lt;"&amp;(_xlfn.ANCHORARRAY(A2)+1))/8*Сводка!$B$13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F043-0440-4DC0-9C35-1CC3BAE771B2}">
  <dimension ref="A1:B7"/>
  <sheetViews>
    <sheetView workbookViewId="0">
      <selection activeCell="K14" sqref="K14"/>
    </sheetView>
  </sheetViews>
  <sheetFormatPr defaultRowHeight="14.4" x14ac:dyDescent="0.3"/>
  <cols>
    <col min="1" max="1" width="10.109375" bestFit="1" customWidth="1"/>
    <col min="2" max="2" width="12.88671875" customWidth="1"/>
  </cols>
  <sheetData>
    <row r="1" spans="1:2" x14ac:dyDescent="0.3">
      <c r="A1" s="54" t="s">
        <v>12</v>
      </c>
      <c r="B1" t="s">
        <v>13</v>
      </c>
    </row>
    <row r="2" spans="1:2" x14ac:dyDescent="0.3">
      <c r="A2" s="85">
        <v>46283</v>
      </c>
      <c r="B2" s="32">
        <v>33</v>
      </c>
    </row>
    <row r="3" spans="1:2" x14ac:dyDescent="0.3">
      <c r="A3" s="85">
        <v>46286</v>
      </c>
      <c r="B3" s="32">
        <v>36</v>
      </c>
    </row>
    <row r="4" spans="1:2" x14ac:dyDescent="0.3">
      <c r="A4" s="85">
        <v>46287</v>
      </c>
      <c r="B4" s="32">
        <v>32</v>
      </c>
    </row>
    <row r="5" spans="1:2" x14ac:dyDescent="0.3">
      <c r="A5" s="85">
        <v>46288</v>
      </c>
      <c r="B5" s="32">
        <v>42</v>
      </c>
    </row>
    <row r="6" spans="1:2" x14ac:dyDescent="0.3">
      <c r="A6" s="85">
        <v>46289</v>
      </c>
      <c r="B6" s="32">
        <v>33</v>
      </c>
    </row>
    <row r="7" spans="1:2" x14ac:dyDescent="0.3">
      <c r="A7" s="85">
        <v>46290</v>
      </c>
      <c r="B7" s="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Оценочкая загрузка,%</vt:lpstr>
      <vt:lpstr>Отчет руководителя</vt:lpstr>
      <vt:lpstr>Исходники</vt:lpstr>
      <vt:lpstr>Сводка</vt:lpstr>
      <vt:lpstr>Динамика отдела</vt:lpstr>
      <vt:lpstr>Данные диаграмм</vt:lpstr>
      <vt:lpstr>Лиды компании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Виктория</cp:lastModifiedBy>
  <dcterms:created xsi:type="dcterms:W3CDTF">2015-06-05T18:19:34Z</dcterms:created>
  <dcterms:modified xsi:type="dcterms:W3CDTF">2026-09-25T14:44:24Z</dcterms:modified>
</cp:coreProperties>
</file>